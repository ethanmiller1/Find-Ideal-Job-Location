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A:\xampp\htdocs\VBA\Job Locations\"/>
    </mc:Choice>
  </mc:AlternateContent>
  <xr:revisionPtr revIDLastSave="0" documentId="13_ncr:1_{E9D64363-D04E-4CD5-960F-91F23FE07FF6}" xr6:coauthVersionLast="43" xr6:coauthVersionMax="43" xr10:uidLastSave="{00000000-0000-0000-0000-000000000000}"/>
  <bookViews>
    <workbookView xWindow="-32170" yWindow="2700" windowWidth="28800" windowHeight="15450" xr2:uid="{973CEB69-2DB3-4B2E-8C53-C113413D8479}"/>
  </bookViews>
  <sheets>
    <sheet name="Cities" sheetId="1" r:id="rId1"/>
    <sheet name="Jobs" sheetId="2" r:id="rId2"/>
    <sheet name="Key Metrics" sheetId="3" r:id="rId3"/>
  </sheets>
  <functionGroups builtInGroupCount="19"/>
  <definedNames>
    <definedName name="Brian">'Key Metrics'!$F$9</definedName>
    <definedName name="Carlsons">'Key Metrics'!$F$10</definedName>
    <definedName name="Family">'Key Metrics'!$C$9</definedName>
    <definedName name="Future_Wife">'Key Metrics'!$F$8</definedName>
    <definedName name="KEY">'Key Metrics'!$C$18</definedName>
    <definedName name="Northlake">'Key Metrics'!$C$10</definedName>
    <definedName name="Stedfast">'Key Metrics'!$C$8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" i="2" l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10" i="3"/>
  <c r="G9" i="3"/>
  <c r="E6" i="1"/>
  <c r="E13" i="1"/>
  <c r="E12" i="1"/>
  <c r="E18" i="1"/>
  <c r="E8" i="1"/>
  <c r="E14" i="1"/>
  <c r="E19" i="1"/>
  <c r="E21" i="1"/>
  <c r="E17" i="1"/>
  <c r="E11" i="1"/>
  <c r="E16" i="1"/>
  <c r="E20" i="1"/>
  <c r="E9" i="1"/>
  <c r="E15" i="1"/>
  <c r="E3" i="1"/>
  <c r="E5" i="1"/>
  <c r="E7" i="1"/>
  <c r="E4" i="1"/>
  <c r="E10" i="1"/>
  <c r="D6" i="1"/>
  <c r="D13" i="1"/>
  <c r="D12" i="1"/>
  <c r="D18" i="1"/>
  <c r="D14" i="1"/>
  <c r="D19" i="1"/>
  <c r="D8" i="1"/>
  <c r="D21" i="1"/>
  <c r="D11" i="1"/>
  <c r="D16" i="1"/>
  <c r="D20" i="1"/>
  <c r="D9" i="1"/>
  <c r="D15" i="1"/>
  <c r="D17" i="1"/>
  <c r="D3" i="1"/>
  <c r="D5" i="1"/>
  <c r="D7" i="1"/>
  <c r="D4" i="1"/>
  <c r="D10" i="1"/>
  <c r="C13" i="1"/>
  <c r="C12" i="1"/>
  <c r="C18" i="1"/>
  <c r="C19" i="1"/>
  <c r="C14" i="1"/>
  <c r="C21" i="1"/>
  <c r="C16" i="1"/>
  <c r="C20" i="1"/>
  <c r="C15" i="1"/>
  <c r="C17" i="1"/>
  <c r="C4" i="1"/>
  <c r="C3" i="1"/>
  <c r="C10" i="1"/>
  <c r="C9" i="1"/>
  <c r="C5" i="1"/>
  <c r="C6" i="1"/>
  <c r="C7" i="1"/>
  <c r="C8" i="1"/>
  <c r="C11" i="1"/>
  <c r="D3" i="2"/>
  <c r="F3" i="2"/>
  <c r="F7" i="2"/>
  <c r="F11" i="2"/>
  <c r="F15" i="2"/>
  <c r="F19" i="2"/>
  <c r="F9" i="2"/>
  <c r="F13" i="2"/>
  <c r="F6" i="2"/>
  <c r="F14" i="2"/>
  <c r="F4" i="2"/>
  <c r="F8" i="2"/>
  <c r="F12" i="2"/>
  <c r="F16" i="2"/>
  <c r="F20" i="2"/>
  <c r="F5" i="2"/>
  <c r="F17" i="2"/>
  <c r="F21" i="2"/>
  <c r="F10" i="2"/>
  <c r="F18" i="2"/>
  <c r="E3" i="2"/>
  <c r="E7" i="2"/>
  <c r="E11" i="2"/>
  <c r="E15" i="2"/>
  <c r="E19" i="2"/>
  <c r="E9" i="2"/>
  <c r="E17" i="2"/>
  <c r="E6" i="2"/>
  <c r="E14" i="2"/>
  <c r="E4" i="2"/>
  <c r="E8" i="2"/>
  <c r="E12" i="2"/>
  <c r="E16" i="2"/>
  <c r="E20" i="2"/>
  <c r="E5" i="2"/>
  <c r="E13" i="2"/>
  <c r="E21" i="2"/>
  <c r="E10" i="2"/>
  <c r="E18" i="2"/>
  <c r="D7" i="2"/>
  <c r="D11" i="2"/>
  <c r="D15" i="2"/>
  <c r="D19" i="2"/>
  <c r="D8" i="2"/>
  <c r="D16" i="2"/>
  <c r="D9" i="2"/>
  <c r="D21" i="2"/>
  <c r="D4" i="2"/>
  <c r="D5" i="2"/>
  <c r="D17" i="2"/>
  <c r="D6" i="2"/>
  <c r="D10" i="2"/>
  <c r="D14" i="2"/>
  <c r="D18" i="2"/>
  <c r="D12" i="2"/>
  <c r="D20" i="2"/>
  <c r="D13" i="2"/>
  <c r="F6" i="1" l="1"/>
  <c r="G6" i="1"/>
  <c r="F4" i="1"/>
  <c r="G4" i="1"/>
  <c r="F21" i="1"/>
  <c r="G21" i="1"/>
  <c r="G8" i="1"/>
  <c r="G5" i="1"/>
  <c r="G13" i="1"/>
  <c r="G12" i="1"/>
  <c r="G16" i="1"/>
  <c r="G17" i="1"/>
  <c r="G3" i="1"/>
  <c r="G7" i="1"/>
  <c r="G9" i="1"/>
  <c r="F8" i="1"/>
  <c r="F5" i="1"/>
  <c r="F13" i="1"/>
  <c r="F12" i="1"/>
  <c r="F16" i="1"/>
  <c r="F17" i="1"/>
  <c r="F3" i="1"/>
  <c r="F7" i="1"/>
  <c r="F9" i="1"/>
  <c r="G19" i="1" l="1"/>
  <c r="G14" i="1"/>
  <c r="F14" i="1"/>
  <c r="F19" i="1"/>
  <c r="G20" i="1"/>
  <c r="F20" i="1"/>
  <c r="F11" i="1"/>
  <c r="G11" i="1"/>
  <c r="F10" i="1"/>
  <c r="G10" i="1"/>
  <c r="F15" i="1"/>
  <c r="G15" i="1"/>
  <c r="G18" i="1"/>
  <c r="F18" i="1"/>
  <c r="G23" i="1" l="1"/>
  <c r="G24" i="1"/>
  <c r="G25" i="1"/>
  <c r="F24" i="1"/>
  <c r="F25" i="1"/>
  <c r="F2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tc={BC2EE5A1-BB54-456F-9934-EADD9EB756EA}</author>
    <author>tc={E3A5DD46-8BC5-41C7-88C6-ECD15B128E55}</author>
    <author>tc={A1959D12-6934-41DC-9EED-5451C246142C}</author>
    <author>tc={1E57A1B1-6111-4F78-854B-77054982B405}</author>
  </authors>
  <commentList>
    <comment ref="L8" authorId="0" shapeId="0" xr:uid="{BC2EE5A1-BB54-456F-9934-EADD9EB756EA}">
      <text>
        <t>[Threaded comment]
Your version of Excel allows you to read this threaded comment; however, any edits to it will get removed if the file is opened in a newer version of Excel. Learn more: https://go.microsoft.com/fwlink/?linkid=870924
Comment:
    Include IMDB API project</t>
      </text>
    </comment>
    <comment ref="L9" authorId="1" shapeId="0" xr:uid="{E3A5DD46-8BC5-41C7-88C6-ECD15B128E55}">
      <text>
        <t>[Threaded comment]
Your version of Excel allows you to read this threaded comment; however, any edits to it will get removed if the file is opened in a newer version of Excel. Learn more: https://go.microsoft.com/fwlink/?linkid=870924
Comment:
    Include farmiliarity with Parcel Web bundler</t>
      </text>
    </comment>
    <comment ref="L10" authorId="2" shapeId="0" xr:uid="{A1959D12-6934-41DC-9EED-5451C246142C}">
      <text>
        <t>[Threaded comment]
Your version of Excel allows you to read this threaded comment; however, any edits to it will get removed if the file is opened in a newer version of Excel. Learn more: https://go.microsoft.com/fwlink/?linkid=870924
Comment:
    Emphasise the use of CMS is node.js app</t>
      </text>
    </comment>
    <comment ref="L18" authorId="3" shapeId="0" xr:uid="{1E57A1B1-6111-4F78-854B-77054982B405}">
      <text>
        <t>[Threaded comment]
Your version of Excel allows you to read this threaded comment; however, any edits to it will get removed if the file is opened in a newer version of Excel. Learn more: https://go.microsoft.com/fwlink/?linkid=870924
Comment:
    Mention thinkorswim
Brokerage/trading platform experience</t>
      </text>
    </comment>
  </commentList>
</comments>
</file>

<file path=xl/sharedStrings.xml><?xml version="1.0" encoding="utf-8"?>
<sst xmlns="http://schemas.openxmlformats.org/spreadsheetml/2006/main" count="157" uniqueCount="129">
  <si>
    <t>Northalke</t>
  </si>
  <si>
    <t>Stedfast</t>
  </si>
  <si>
    <t>Family</t>
  </si>
  <si>
    <t>E Avenue J, Grand Prairie, TX 75050</t>
  </si>
  <si>
    <t>1310 Leeward Lane, Wylie, TX</t>
  </si>
  <si>
    <t>AIzaSyB06tMOemrwtlMcat2ZKLPYGdFJ--BNJ7c</t>
  </si>
  <si>
    <t>AIzaSyBI8NwkLl9986UkW4rL-UrZnASfhow8Yco</t>
  </si>
  <si>
    <t>City</t>
  </si>
  <si>
    <t>1501 N Country Club Rd, Garland, TX 75040</t>
  </si>
  <si>
    <t xml:space="preserve">AIzaSyAzl382bWLBzBXof5vvBu2YWB63THcqXYE </t>
  </si>
  <si>
    <t>Richardson</t>
  </si>
  <si>
    <t xml:space="preserve">AIzaSyAo8JuBFcLDuoUnxtZrcw9oUy1sN9Nda9w </t>
  </si>
  <si>
    <t xml:space="preserve">AIzaSyCWs1dbQr9WW09Z9FEx2qNZR-d-ZRqBVTQ </t>
  </si>
  <si>
    <t>Garland</t>
  </si>
  <si>
    <t>Rockwall</t>
  </si>
  <si>
    <t>Addison</t>
  </si>
  <si>
    <t>University Park</t>
  </si>
  <si>
    <t>Sachse</t>
  </si>
  <si>
    <t>Rowlett</t>
  </si>
  <si>
    <t>Dalrock</t>
  </si>
  <si>
    <t>Company</t>
  </si>
  <si>
    <t>Location</t>
  </si>
  <si>
    <t>Northlake</t>
  </si>
  <si>
    <t>Priority</t>
  </si>
  <si>
    <t>Position</t>
  </si>
  <si>
    <t>Extra Study</t>
  </si>
  <si>
    <t>Link</t>
  </si>
  <si>
    <t>2910 Riviera Dr, Garland, TX 75040</t>
  </si>
  <si>
    <t>Skills</t>
  </si>
  <si>
    <t>Priority 3</t>
  </si>
  <si>
    <t>Priotity 2</t>
  </si>
  <si>
    <t>Average</t>
  </si>
  <si>
    <t>Max</t>
  </si>
  <si>
    <t>Min</t>
  </si>
  <si>
    <t>Frisco</t>
  </si>
  <si>
    <t>The Colony</t>
  </si>
  <si>
    <t>Dallas</t>
  </si>
  <si>
    <t>McKinney</t>
  </si>
  <si>
    <t>Allen</t>
  </si>
  <si>
    <t>Plano</t>
  </si>
  <si>
    <t>Carrolton</t>
  </si>
  <si>
    <t>Irving</t>
  </si>
  <si>
    <t>Full Stack</t>
  </si>
  <si>
    <t>MERN Stack</t>
  </si>
  <si>
    <t>Python</t>
  </si>
  <si>
    <t>Backend</t>
  </si>
  <si>
    <t>Node.js</t>
  </si>
  <si>
    <t>C++</t>
  </si>
  <si>
    <t>Lewisville</t>
  </si>
  <si>
    <t>Notes</t>
  </si>
  <si>
    <t>Indeed Prime</t>
  </si>
  <si>
    <t>Dallas, TX</t>
  </si>
  <si>
    <t>limited oversight, technical lead</t>
  </si>
  <si>
    <t>Indeed</t>
  </si>
  <si>
    <t>Java, Angular</t>
  </si>
  <si>
    <t>Applied</t>
  </si>
  <si>
    <t>senior software engineer</t>
  </si>
  <si>
    <t>Prime Axis Technologies</t>
  </si>
  <si>
    <t>Python Developer</t>
  </si>
  <si>
    <t>Strong skills, extensive experience</t>
  </si>
  <si>
    <t>Redis, AWS, MySQL</t>
  </si>
  <si>
    <t>collaboration and openness</t>
  </si>
  <si>
    <t>Software Engineer</t>
  </si>
  <si>
    <t>Capital One</t>
  </si>
  <si>
    <t>8066 Dominion Pkwy, Plano, TX 75024</t>
  </si>
  <si>
    <t>Java &amp; Spring, Angular,
AWS, Spring Boot</t>
  </si>
  <si>
    <t>Capital One Plano Building 1, Preston Road, Plano, Texas</t>
  </si>
  <si>
    <t>RealPage</t>
  </si>
  <si>
    <t>2201 Lakeside Blvd, Richardson, TX 75082</t>
  </si>
  <si>
    <t>collaboratively, api's, SQL Server Management Studio</t>
  </si>
  <si>
    <t>C#, IIS, Scrum/Agile, Design Patterns,</t>
  </si>
  <si>
    <t>633 West Davis St. Dallas, TX 75208</t>
  </si>
  <si>
    <t>MachineCDN LLC</t>
  </si>
  <si>
    <t>Full Stack Engineer</t>
  </si>
  <si>
    <t>React.Js, AWS, Webpack, LAMP, Ruby on Rail, Babel and ES6/ES7, RESTful APIs</t>
  </si>
  <si>
    <t>5904 Chapel Hill Blvd, Plano, TX 75093</t>
  </si>
  <si>
    <t>14240 Proton Rd, Dallas, TX 75244</t>
  </si>
  <si>
    <t>New Benefits</t>
  </si>
  <si>
    <t>Full Stack Developer</t>
  </si>
  <si>
    <r>
      <t xml:space="preserve">C#, AngularJS, ReactJS, CRUD, </t>
    </r>
    <r>
      <rPr>
        <b/>
        <sz val="11"/>
        <color theme="1"/>
        <rFont val="Calibri"/>
        <family val="2"/>
        <scheme val="minor"/>
      </rPr>
      <t>Java, J2EE, IIS</t>
    </r>
    <r>
      <rPr>
        <sz val="11"/>
        <color theme="1"/>
        <rFont val="Calibri"/>
        <family val="2"/>
        <scheme val="minor"/>
      </rPr>
      <t>, AWS</t>
    </r>
  </si>
  <si>
    <t>pulseM</t>
  </si>
  <si>
    <t>Jr. Java Developer</t>
  </si>
  <si>
    <t>RamTek Inc</t>
  </si>
  <si>
    <t>Oak Cliff</t>
  </si>
  <si>
    <t>T-Mobile</t>
  </si>
  <si>
    <t>744 Brick Row Ste 200, Richardson, TX 75081</t>
  </si>
  <si>
    <t>State Farm</t>
  </si>
  <si>
    <t>Software Developer</t>
  </si>
  <si>
    <t>Assoc Software Engineer</t>
  </si>
  <si>
    <t>FedEx Services</t>
  </si>
  <si>
    <t>1200 Capital Ave, Plano, TX 75074</t>
  </si>
  <si>
    <t>Software Developer (all levels)</t>
  </si>
  <si>
    <t>React, redux, Java</t>
  </si>
  <si>
    <t>SpinSci Technologies</t>
  </si>
  <si>
    <t>100 N Central Expy, Richardson, TX 75080</t>
  </si>
  <si>
    <t>TekOrion Inc</t>
  </si>
  <si>
    <t>Software Developer Entry Level</t>
  </si>
  <si>
    <t>TradeStation</t>
  </si>
  <si>
    <t>2600 N Central Expy, Richardson, TX 75080</t>
  </si>
  <si>
    <t>Agile team</t>
  </si>
  <si>
    <t>Junior Software Engineer</t>
  </si>
  <si>
    <t xml:space="preserve">C#, Ruby, Agile, CAP theorem, AWS </t>
  </si>
  <si>
    <t>CapitalOne</t>
  </si>
  <si>
    <t>Java, AWS</t>
  </si>
  <si>
    <t>Java, AWS, Angular</t>
  </si>
  <si>
    <t>training program, become salaried consultants</t>
  </si>
  <si>
    <t>agile team environment, Lead code reviews, 30+ days ago</t>
  </si>
  <si>
    <t>AWS</t>
  </si>
  <si>
    <t>Java</t>
  </si>
  <si>
    <t>React</t>
  </si>
  <si>
    <t>C#</t>
  </si>
  <si>
    <t>Learn</t>
  </si>
  <si>
    <t>appliction architecting</t>
  </si>
  <si>
    <t>thought leader, Front/Back-End, API, content management systems, appliction architecting</t>
  </si>
  <si>
    <t>Agile and scrum</t>
  </si>
  <si>
    <t>DEFINE KEY METRICS HERE</t>
  </si>
  <si>
    <t>Places of Interest</t>
  </si>
  <si>
    <t>Keys</t>
  </si>
  <si>
    <t>Active Keys</t>
  </si>
  <si>
    <t>Inactive Keys</t>
  </si>
  <si>
    <t>Additional Locations</t>
  </si>
  <si>
    <t>USED IN LOCATION REPORT</t>
  </si>
  <si>
    <t>101 Colonel Drive, Garland, TX</t>
  </si>
  <si>
    <t>835 Sherrill Blvd, Duncanville, Texas</t>
  </si>
  <si>
    <t>17304 Preston Rd, Dallas, TX 75252</t>
  </si>
  <si>
    <t>1332 S Plano Rd 114, Richardson, TX 75081</t>
  </si>
  <si>
    <t>14850 Quorum Dr 150, Dallas, TX 75254</t>
  </si>
  <si>
    <t>Murphy, TX</t>
  </si>
  <si>
    <t>Highland Park, 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</si>
</sst>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_);[Red]\(0\);&quot;&quot;"/>
  </numFmts>
  <fonts count="16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 tint="0.34998626667073579"/>
      <name val="Calibri Light"/>
      <family val="2"/>
      <scheme val="major"/>
    </font>
    <font>
      <sz val="11"/>
      <color theme="1"/>
      <name val="Calibri"/>
      <family val="2"/>
    </font>
    <font>
      <sz val="24"/>
      <color theme="4"/>
      <name val="Calibri Light"/>
      <family val="2"/>
      <scheme val="major"/>
    </font>
    <font>
      <sz val="20"/>
      <color theme="0" tint="-0.34998626667073579"/>
      <name val="Euphemia"/>
      <family val="2"/>
    </font>
    <font>
      <sz val="14"/>
      <color theme="3" tint="0.499984740745262"/>
      <name val="Calibri"/>
      <family val="2"/>
      <scheme val="minor"/>
    </font>
    <font>
      <sz val="14"/>
      <color theme="3" tint="0.499984740745262"/>
      <name val="Franklin Gothic Medium"/>
      <family val="2"/>
    </font>
    <font>
      <sz val="14"/>
      <color theme="0" tint="-0.34998626667073579"/>
      <name val="Euph"/>
    </font>
    <font>
      <sz val="9"/>
      <color theme="1" tint="0.34998626667073579"/>
      <name val="Franklin Gothic Medium"/>
      <family val="2"/>
    </font>
    <font>
      <sz val="11"/>
      <color theme="1" tint="0.499984740745262"/>
      <name val="Calibri"/>
      <family val="2"/>
      <scheme val="minor"/>
    </font>
    <font>
      <sz val="10"/>
      <color theme="1" tint="0.34998626667073579"/>
      <name val="Euphemia"/>
      <family val="2"/>
    </font>
    <font>
      <sz val="24"/>
      <color rgb="FF94AC6C"/>
      <name val="Euphemia"/>
      <family val="2"/>
    </font>
    <font>
      <sz val="7"/>
      <color rgb="FFD4D4D4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theme="8" tint="0.39997558519241921"/>
      </left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/>
      <right style="thick">
        <color theme="0"/>
      </right>
      <top/>
      <bottom/>
      <diagonal/>
    </border>
    <border>
      <left/>
      <right/>
      <top/>
      <bottom style="medium">
        <color theme="0" tint="-0.34998626667073579"/>
      </bottom>
      <diagonal/>
    </border>
    <border>
      <left/>
      <right/>
      <top style="medium">
        <color theme="0" tint="-0.34998626667073579"/>
      </top>
      <bottom style="medium">
        <color theme="0" tint="-0.34998626667073579"/>
      </bottom>
      <diagonal/>
    </border>
    <border>
      <left style="medium">
        <color theme="0" tint="-0.34998626667073579"/>
      </left>
      <right style="thin">
        <color theme="0" tint="-0.14996795556505021"/>
      </right>
      <top style="medium">
        <color theme="0" tint="-0.34998626667073579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theme="0" tint="-0.34998626667073579"/>
      </right>
      <top style="medium">
        <color theme="0" tint="-0.34998626667073579"/>
      </top>
      <bottom style="thin">
        <color theme="0" tint="-0.14996795556505021"/>
      </bottom>
      <diagonal/>
    </border>
    <border>
      <left style="medium">
        <color theme="0" tint="-0.34998626667073579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theme="0" tint="-0.34998626667073579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theme="0" tint="-0.34998626667073579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medium">
        <color theme="0" tint="-0.34998626667073579"/>
      </right>
      <top style="thin">
        <color theme="0" tint="-0.14996795556505021"/>
      </top>
      <bottom/>
      <diagonal/>
    </border>
    <border>
      <left style="medium">
        <color theme="0" tint="-0.34998626667073579"/>
      </left>
      <right style="thin">
        <color theme="0" tint="-0.14996795556505021"/>
      </right>
      <top style="thin">
        <color theme="0" tint="-0.14996795556505021"/>
      </top>
      <bottom style="medium">
        <color theme="0" tint="-0.34998626667073579"/>
      </bottom>
      <diagonal/>
    </border>
    <border>
      <left style="thin">
        <color theme="0" tint="-0.14996795556505021"/>
      </left>
      <right style="medium">
        <color theme="0" tint="-0.34998626667073579"/>
      </right>
      <top style="thin">
        <color theme="0" tint="-0.14996795556505021"/>
      </top>
      <bottom style="medium">
        <color theme="0" tint="-0.34998626667073579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4" fillId="0" borderId="0" applyFill="0" applyBorder="0">
      <alignment vertical="center"/>
    </xf>
    <xf numFmtId="0" fontId="6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1" fontId="0" fillId="0" borderId="0" xfId="0" applyNumberFormat="1"/>
    <xf numFmtId="0" fontId="0" fillId="3" borderId="1" xfId="0" applyFont="1" applyFill="1" applyBorder="1"/>
    <xf numFmtId="0" fontId="0" fillId="2" borderId="1" xfId="0" applyFont="1" applyFill="1" applyBorder="1"/>
    <xf numFmtId="0" fontId="0" fillId="0" borderId="2" xfId="0" applyBorder="1"/>
    <xf numFmtId="1" fontId="0" fillId="0" borderId="2" xfId="0" applyNumberFormat="1" applyBorder="1"/>
    <xf numFmtId="1" fontId="0" fillId="3" borderId="1" xfId="0" applyNumberFormat="1" applyFont="1" applyFill="1" applyBorder="1"/>
    <xf numFmtId="1" fontId="0" fillId="2" borderId="1" xfId="0" applyNumberFormat="1" applyFont="1" applyFill="1" applyBorder="1"/>
    <xf numFmtId="0" fontId="0" fillId="0" borderId="0" xfId="0" applyAlignment="1">
      <alignment vertical="center"/>
    </xf>
    <xf numFmtId="0" fontId="0" fillId="0" borderId="2" xfId="0" applyBorder="1" applyAlignment="1">
      <alignment vertical="center"/>
    </xf>
    <xf numFmtId="0" fontId="0" fillId="0" borderId="0" xfId="0" applyAlignment="1">
      <alignment vertical="center" wrapText="1"/>
    </xf>
    <xf numFmtId="0" fontId="1" fillId="0" borderId="0" xfId="1" applyAlignment="1">
      <alignment vertical="center"/>
    </xf>
    <xf numFmtId="0" fontId="3" fillId="2" borderId="1" xfId="0" applyFont="1" applyFill="1" applyBorder="1"/>
    <xf numFmtId="0" fontId="4" fillId="0" borderId="0" xfId="2">
      <alignment vertical="center"/>
    </xf>
    <xf numFmtId="0" fontId="5" fillId="0" borderId="0" xfId="2" applyFont="1">
      <alignment vertical="center"/>
    </xf>
    <xf numFmtId="0" fontId="4" fillId="0" borderId="3" xfId="2" applyBorder="1">
      <alignment vertical="center"/>
    </xf>
    <xf numFmtId="0" fontId="7" fillId="0" borderId="4" xfId="2" applyFont="1" applyBorder="1" applyAlignment="1">
      <alignment horizontal="center" vertical="center"/>
    </xf>
    <xf numFmtId="0" fontId="9" fillId="0" borderId="0" xfId="4" applyFont="1" applyAlignment="1">
      <alignment horizontal="left"/>
    </xf>
    <xf numFmtId="0" fontId="9" fillId="0" borderId="3" xfId="4" applyFont="1" applyBorder="1" applyAlignment="1">
      <alignment horizontal="left"/>
    </xf>
    <xf numFmtId="0" fontId="10" fillId="0" borderId="4" xfId="2" applyFont="1" applyBorder="1" applyAlignment="1">
      <alignment horizontal="left" vertical="center" indent="2"/>
    </xf>
    <xf numFmtId="0" fontId="4" fillId="0" borderId="4" xfId="2" applyBorder="1">
      <alignment vertical="center"/>
    </xf>
    <xf numFmtId="0" fontId="4" fillId="0" borderId="0" xfId="2" applyAlignment="1">
      <alignment horizontal="left" vertical="center" indent="2"/>
    </xf>
    <xf numFmtId="0" fontId="11" fillId="4" borderId="3" xfId="2" applyFont="1" applyFill="1" applyBorder="1" applyAlignment="1">
      <alignment horizontal="center" vertical="center" wrapText="1"/>
    </xf>
    <xf numFmtId="0" fontId="12" fillId="0" borderId="5" xfId="2" applyFont="1" applyBorder="1" applyAlignment="1">
      <alignment horizontal="center" vertical="center"/>
    </xf>
    <xf numFmtId="0" fontId="13" fillId="0" borderId="6" xfId="2" applyFont="1" applyBorder="1" applyAlignment="1">
      <alignment horizontal="left" vertical="center"/>
    </xf>
    <xf numFmtId="0" fontId="12" fillId="0" borderId="0" xfId="2" applyFont="1">
      <alignment vertical="center"/>
    </xf>
    <xf numFmtId="0" fontId="12" fillId="0" borderId="7" xfId="2" applyFont="1" applyBorder="1" applyAlignment="1">
      <alignment horizontal="center" vertical="center"/>
    </xf>
    <xf numFmtId="0" fontId="13" fillId="0" borderId="8" xfId="2" applyFont="1" applyBorder="1" applyAlignment="1">
      <alignment horizontal="left" vertical="center"/>
    </xf>
    <xf numFmtId="0" fontId="13" fillId="0" borderId="8" xfId="2" applyFont="1" applyBorder="1">
      <alignment vertical="center"/>
    </xf>
    <xf numFmtId="0" fontId="12" fillId="0" borderId="9" xfId="2" applyFont="1" applyBorder="1" applyAlignment="1">
      <alignment horizontal="center" vertical="center"/>
    </xf>
    <xf numFmtId="0" fontId="13" fillId="0" borderId="10" xfId="2" applyFont="1" applyBorder="1">
      <alignment vertical="center"/>
    </xf>
    <xf numFmtId="0" fontId="12" fillId="0" borderId="11" xfId="2" applyFont="1" applyBorder="1" applyAlignment="1">
      <alignment horizontal="center" vertical="center"/>
    </xf>
    <xf numFmtId="0" fontId="13" fillId="0" borderId="12" xfId="2" applyFont="1" applyBorder="1">
      <alignment vertical="center"/>
    </xf>
    <xf numFmtId="0" fontId="14" fillId="0" borderId="0" xfId="3" applyFont="1"/>
    <xf numFmtId="164" fontId="0" fillId="0" borderId="2" xfId="0" applyNumberFormat="1" applyBorder="1"/>
    <xf numFmtId="164" fontId="0" fillId="0" borderId="2" xfId="0" applyNumberFormat="1" applyBorder="1" applyAlignment="1">
      <alignment vertical="center"/>
    </xf>
    <xf numFmtId="0" fontId="15" fillId="0" borderId="0" xfId="0" applyFont="1"/>
    <xf numFmtId="0" fontId="0" fillId="0" borderId="0" xfId="0" applyNumberFormat="1"/>
    <xf numFmtId="1" fontId="0" fillId="0" borderId="0" xfId="0" applyNumberFormat="1" applyAlignment="1">
      <alignment vertical="center"/>
    </xf>
  </cellXfs>
  <cellStyles count="5">
    <cellStyle name="Heading 3 2" xfId="4" xr:uid="{0CED90E6-2134-436D-87B6-9097A50D2111}"/>
    <cellStyle name="Hyperlink" xfId="1" builtinId="8"/>
    <cellStyle name="Normal" xfId="0" builtinId="0"/>
    <cellStyle name="Normal 2" xfId="2" xr:uid="{777513C1-A6E2-465A-AB46-1F767AA95F5F}"/>
    <cellStyle name="Title 3" xfId="3" xr:uid="{473167D5-8EC4-48E0-9175-66B3394F7E78}"/>
  </cellStyles>
  <dxfs count="26">
    <dxf>
      <numFmt numFmtId="164" formatCode="0_);[Red]\(0\);&quot;&quot;"/>
      <border diagonalUp="0" diagonalDown="0">
        <left/>
        <right style="thick">
          <color theme="0"/>
        </right>
        <top/>
        <bottom/>
      </border>
    </dxf>
    <dxf>
      <numFmt numFmtId="1" formatCode="0"/>
    </dxf>
    <dxf>
      <numFmt numFmtId="0" formatCode="General"/>
    </dxf>
    <dxf>
      <numFmt numFmtId="1" formatCode="0"/>
    </dxf>
    <dxf>
      <border outline="0">
        <left style="thick">
          <color theme="0"/>
        </left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" formatCode="0"/>
    </dxf>
    <dxf>
      <numFmt numFmtId="1" formatCode="0"/>
    </dxf>
    <dxf>
      <border diagonalUp="0" diagonalDown="0">
        <left/>
        <right style="thick">
          <color theme="0"/>
        </right>
        <top/>
        <bottom/>
        <vertical/>
        <horizontal/>
      </border>
    </dxf>
  </dxfs>
  <tableStyles count="0" defaultTableStyle="TableStyleMedium2" defaultPivotStyle="PivotStyleLight16"/>
  <colors>
    <mruColors>
      <color rgb="FF94AC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296333</xdr:colOff>
      <xdr:row>1</xdr:row>
      <xdr:rowOff>105834</xdr:rowOff>
    </xdr:from>
    <xdr:to>
      <xdr:col>9</xdr:col>
      <xdr:colOff>52916</xdr:colOff>
      <xdr:row>5</xdr:row>
      <xdr:rowOff>103715</xdr:rowOff>
    </xdr:to>
    <xdr:sp macro="" textlink="">
      <xdr:nvSpPr>
        <xdr:cNvPr id="2" name="Data Entry Tip" descr="Select the Key Metrics for your report in cells C5 through C9.&#10;" title="Tip">
          <a:extLst>
            <a:ext uri="{FF2B5EF4-FFF2-40B4-BE49-F238E27FC236}">
              <a16:creationId xmlns:a16="http://schemas.microsoft.com/office/drawing/2014/main" id="{C721110F-5A54-4F63-BCA6-59A14D843443}"/>
            </a:ext>
          </a:extLst>
        </xdr:cNvPr>
        <xdr:cNvSpPr/>
      </xdr:nvSpPr>
      <xdr:spPr>
        <a:xfrm>
          <a:off x="4656666" y="245534"/>
          <a:ext cx="1009650" cy="742948"/>
        </a:xfrm>
        <a:prstGeom prst="wedgeRectCallout">
          <a:avLst>
            <a:gd name="adj1" fmla="val -68256"/>
            <a:gd name="adj2" fmla="val -24513"/>
          </a:avLst>
        </a:prstGeom>
        <a:solidFill>
          <a:srgbClr val="94AC6C"/>
        </a:solidFill>
        <a:ln w="190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50" baseline="0"/>
            <a:t>Priority 2 is my average drive if I discard Stedfast.</a:t>
          </a:r>
          <a:endParaRPr lang="en-US" sz="1050"/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1</xdr:row>
          <xdr:rowOff>165100</xdr:rowOff>
        </xdr:from>
        <xdr:to>
          <xdr:col>10</xdr:col>
          <xdr:colOff>450850</xdr:colOff>
          <xdr:row>3</xdr:row>
          <xdr:rowOff>12701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2</xdr:row>
          <xdr:rowOff>165100</xdr:rowOff>
        </xdr:from>
        <xdr:to>
          <xdr:col>10</xdr:col>
          <xdr:colOff>450850</xdr:colOff>
          <xdr:row>7</xdr:row>
          <xdr:rowOff>12700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4</xdr:row>
          <xdr:rowOff>69850</xdr:rowOff>
        </xdr:from>
        <xdr:to>
          <xdr:col>10</xdr:col>
          <xdr:colOff>450850</xdr:colOff>
          <xdr:row>8</xdr:row>
          <xdr:rowOff>38100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5</xdr:row>
          <xdr:rowOff>165100</xdr:rowOff>
        </xdr:from>
        <xdr:to>
          <xdr:col>10</xdr:col>
          <xdr:colOff>450850</xdr:colOff>
          <xdr:row>8</xdr:row>
          <xdr:rowOff>31750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7</xdr:row>
          <xdr:rowOff>165100</xdr:rowOff>
        </xdr:from>
        <xdr:to>
          <xdr:col>10</xdr:col>
          <xdr:colOff>450850</xdr:colOff>
          <xdr:row>9</xdr:row>
          <xdr:rowOff>12701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8</xdr:row>
          <xdr:rowOff>165100</xdr:rowOff>
        </xdr:from>
        <xdr:to>
          <xdr:col>10</xdr:col>
          <xdr:colOff>450850</xdr:colOff>
          <xdr:row>10</xdr:row>
          <xdr:rowOff>12700</xdr:rowOff>
        </xdr:to>
        <xdr:sp macro="" textlink="">
          <xdr:nvSpPr>
            <xdr:cNvPr id="2068" name="Check Box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9</xdr:row>
          <xdr:rowOff>165100</xdr:rowOff>
        </xdr:from>
        <xdr:to>
          <xdr:col>10</xdr:col>
          <xdr:colOff>450850</xdr:colOff>
          <xdr:row>11</xdr:row>
          <xdr:rowOff>12699</xdr:rowOff>
        </xdr:to>
        <xdr:sp macro="" textlink="">
          <xdr:nvSpPr>
            <xdr:cNvPr id="2069" name="Check Box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10</xdr:row>
          <xdr:rowOff>165100</xdr:rowOff>
        </xdr:from>
        <xdr:to>
          <xdr:col>10</xdr:col>
          <xdr:colOff>450850</xdr:colOff>
          <xdr:row>12</xdr:row>
          <xdr:rowOff>12701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11</xdr:row>
          <xdr:rowOff>165100</xdr:rowOff>
        </xdr:from>
        <xdr:to>
          <xdr:col>10</xdr:col>
          <xdr:colOff>450850</xdr:colOff>
          <xdr:row>13</xdr:row>
          <xdr:rowOff>12700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12</xdr:row>
          <xdr:rowOff>165100</xdr:rowOff>
        </xdr:from>
        <xdr:to>
          <xdr:col>10</xdr:col>
          <xdr:colOff>450850</xdr:colOff>
          <xdr:row>14</xdr:row>
          <xdr:rowOff>12699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13</xdr:row>
          <xdr:rowOff>165100</xdr:rowOff>
        </xdr:from>
        <xdr:to>
          <xdr:col>10</xdr:col>
          <xdr:colOff>450850</xdr:colOff>
          <xdr:row>15</xdr:row>
          <xdr:rowOff>12701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14</xdr:row>
          <xdr:rowOff>165100</xdr:rowOff>
        </xdr:from>
        <xdr:to>
          <xdr:col>10</xdr:col>
          <xdr:colOff>450850</xdr:colOff>
          <xdr:row>16</xdr:row>
          <xdr:rowOff>12700</xdr:rowOff>
        </xdr:to>
        <xdr:sp macro="" textlink="">
          <xdr:nvSpPr>
            <xdr:cNvPr id="2074" name="Check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15</xdr:row>
          <xdr:rowOff>165100</xdr:rowOff>
        </xdr:from>
        <xdr:to>
          <xdr:col>10</xdr:col>
          <xdr:colOff>450850</xdr:colOff>
          <xdr:row>17</xdr:row>
          <xdr:rowOff>12699</xdr:rowOff>
        </xdr:to>
        <xdr:sp macro="" textlink="">
          <xdr:nvSpPr>
            <xdr:cNvPr id="2075" name="Check Box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16</xdr:row>
          <xdr:rowOff>165100</xdr:rowOff>
        </xdr:from>
        <xdr:to>
          <xdr:col>10</xdr:col>
          <xdr:colOff>450850</xdr:colOff>
          <xdr:row>18</xdr:row>
          <xdr:rowOff>12701</xdr:rowOff>
        </xdr:to>
        <xdr:sp macro="" textlink="">
          <xdr:nvSpPr>
            <xdr:cNvPr id="2076" name="Check Box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17</xdr:row>
          <xdr:rowOff>165100</xdr:rowOff>
        </xdr:from>
        <xdr:to>
          <xdr:col>10</xdr:col>
          <xdr:colOff>450850</xdr:colOff>
          <xdr:row>19</xdr:row>
          <xdr:rowOff>12700</xdr:rowOff>
        </xdr:to>
        <xdr:sp macro="" textlink="">
          <xdr:nvSpPr>
            <xdr:cNvPr id="2077" name="Check Box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18</xdr:row>
          <xdr:rowOff>165100</xdr:rowOff>
        </xdr:from>
        <xdr:to>
          <xdr:col>10</xdr:col>
          <xdr:colOff>450850</xdr:colOff>
          <xdr:row>20</xdr:row>
          <xdr:rowOff>12699</xdr:rowOff>
        </xdr:to>
        <xdr:sp macro="" textlink="">
          <xdr:nvSpPr>
            <xdr:cNvPr id="2078" name="Check Box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19</xdr:row>
          <xdr:rowOff>165100</xdr:rowOff>
        </xdr:from>
        <xdr:to>
          <xdr:col>10</xdr:col>
          <xdr:colOff>450850</xdr:colOff>
          <xdr:row>21</xdr:row>
          <xdr:rowOff>12701</xdr:rowOff>
        </xdr:to>
        <xdr:sp macro="" textlink="">
          <xdr:nvSpPr>
            <xdr:cNvPr id="2079" name="Check Box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4</xdr:row>
          <xdr:rowOff>361950</xdr:rowOff>
        </xdr:from>
        <xdr:to>
          <xdr:col>10</xdr:col>
          <xdr:colOff>450850</xdr:colOff>
          <xdr:row>8</xdr:row>
          <xdr:rowOff>31750</xdr:rowOff>
        </xdr:to>
        <xdr:sp macro="" textlink="">
          <xdr:nvSpPr>
            <xdr:cNvPr id="2081" name="Check Box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6</xdr:row>
          <xdr:rowOff>165100</xdr:rowOff>
        </xdr:from>
        <xdr:to>
          <xdr:col>10</xdr:col>
          <xdr:colOff>450850</xdr:colOff>
          <xdr:row>8</xdr:row>
          <xdr:rowOff>31750</xdr:rowOff>
        </xdr:to>
        <xdr:sp macro="" textlink="">
          <xdr:nvSpPr>
            <xdr:cNvPr id="2086" name="Check Box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279400</xdr:colOff>
      <xdr:row>16</xdr:row>
      <xdr:rowOff>95250</xdr:rowOff>
    </xdr:from>
    <xdr:to>
      <xdr:col>8</xdr:col>
      <xdr:colOff>69850</xdr:colOff>
      <xdr:row>20</xdr:row>
      <xdr:rowOff>38098</xdr:rowOff>
    </xdr:to>
    <xdr:sp macro="" textlink="">
      <xdr:nvSpPr>
        <xdr:cNvPr id="5" name="Data Entry Tip" descr="Select the Key Metrics for your report in cells C5 through C9.&#10;" title="Tip">
          <a:extLst>
            <a:ext uri="{FF2B5EF4-FFF2-40B4-BE49-F238E27FC236}">
              <a16:creationId xmlns:a16="http://schemas.microsoft.com/office/drawing/2014/main" id="{B3175ED5-374C-4580-8855-ECF90B80DFDD}"/>
            </a:ext>
          </a:extLst>
        </xdr:cNvPr>
        <xdr:cNvSpPr/>
      </xdr:nvSpPr>
      <xdr:spPr>
        <a:xfrm>
          <a:off x="7340600" y="3492500"/>
          <a:ext cx="1009650" cy="742948"/>
        </a:xfrm>
        <a:prstGeom prst="wedgeRectCallout">
          <a:avLst>
            <a:gd name="adj1" fmla="val -68256"/>
            <a:gd name="adj2" fmla="val -24513"/>
          </a:avLst>
        </a:prstGeom>
        <a:solidFill>
          <a:srgbClr val="94AC6C"/>
        </a:solidFill>
        <a:ln w="190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50" baseline="0"/>
            <a:t>These keys can be used by 1 URL per day.</a:t>
          </a:r>
          <a:endParaRPr lang="en-US" sz="1050"/>
        </a:p>
      </xdr:txBody>
    </xdr:sp>
    <xdr:clientData fPrintsWithSheet="0"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Ethan Miller" id="{EB0695EF-8373-4FBD-B299-7EB73C2F6D8E}" userId="e25354c8fb370fb0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2AC2247-BAE0-48AE-9EDC-F95C7FA3A20F}" name="Table4" displayName="Table4" ref="B2:G21" totalsRowShown="0">
  <autoFilter ref="B2:G21" xr:uid="{7261E789-6B3D-4F9D-A02D-5E96171D319F}"/>
  <sortState xmlns:xlrd2="http://schemas.microsoft.com/office/spreadsheetml/2017/richdata2" ref="B3:G21">
    <sortCondition ref="F2:F21"/>
  </sortState>
  <tableColumns count="6">
    <tableColumn id="1" xr3:uid="{FEA4E19C-51B3-4330-B15B-54EFD14B3F1A}" name="City"/>
    <tableColumn id="2" xr3:uid="{CB948275-0CFF-4A82-A7E2-1AFAFF142492}" name="Stedfast"/>
    <tableColumn id="3" xr3:uid="{41C5990A-C777-4604-B9C3-07134D88A302}" name="Family"/>
    <tableColumn id="4" xr3:uid="{82BC3DD1-B40F-43A1-B900-937790D9BC3F}" name="Northalke" dataDxfId="25"/>
    <tableColumn id="6" xr3:uid="{CC79503E-CEFA-4AEF-AFA9-EAEDD85C3A7F}" name="Priority 3" dataDxfId="24">
      <calculatedColumnFormula>SUM(Table4[[#This Row],[Stedfast]:[Northalke]])/3</calculatedColumnFormula>
    </tableColumn>
    <tableColumn id="5" xr3:uid="{CD55FC2A-3992-4D4F-B88D-E6A729B6C5F4}" name="Priotity 2" dataDxfId="23">
      <calculatedColumnFormula>(Table4[[#This Row],[Family]]+Table4[[#This Row],[Northalke]])/2</calculatedColumnFormula>
    </tableColumn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20DDF99-495B-4325-B89A-D9518539ABA0}" name="Table2" displayName="Table2" ref="B2:L21" totalsRowShown="0">
  <autoFilter ref="B2:L21" xr:uid="{A5B69E04-D4F6-45A5-9452-D0817563357C}"/>
  <tableColumns count="11">
    <tableColumn id="1" xr3:uid="{39A2EE1C-F363-4A65-97B3-7E1F59A7042C}" name="Company"/>
    <tableColumn id="2" xr3:uid="{B76DE079-3FEC-443F-9C5A-F0512822A96B}" name="Location"/>
    <tableColumn id="3" xr3:uid="{A5B7604E-981A-4F7C-AC17-EDDB13678AC6}" name="Stedfast" dataDxfId="3">
      <calculatedColumnFormula>GetDuration(Table2[[#This Row],[Location]],Stedfast,KEY)</calculatedColumnFormula>
    </tableColumn>
    <tableColumn id="4" xr3:uid="{AE2182DD-9A00-41BA-B182-FD5858E22544}" name="Family" dataDxfId="1">
      <calculatedColumnFormula>GetDuration(Table2[[#This Row],[Location]],Family,KEY)</calculatedColumnFormula>
    </tableColumn>
    <tableColumn id="5" xr3:uid="{298CE487-B626-47B5-BBE4-0DAC807C3557}" name="Northlake" dataDxfId="2">
      <calculatedColumnFormula>GetDuration(Table2[[#This Row],[Location]],Northlake,KEY)</calculatedColumnFormula>
    </tableColumn>
    <tableColumn id="6" xr3:uid="{B9820EFD-1371-4F5C-881A-FE5236DBD44C}" name="Priority" dataDxfId="0">
      <calculatedColumnFormula>IFERROR((Table2[[#This Row],[Stedfast]]+Table2[[#This Row],[Family]]+Table2[[#This Row],[Northlake]])/3, "")</calculatedColumnFormula>
    </tableColumn>
    <tableColumn id="7" xr3:uid="{B1A4A15A-D05F-4E47-A938-9F766FC711AF}" name="Position" dataDxfId="4"/>
    <tableColumn id="8" xr3:uid="{24616A32-D9F2-40BE-80ED-3CCBD94CE0CD}" name="Extra Study"/>
    <tableColumn id="9" xr3:uid="{F84FE9B3-6F82-4E11-A9A7-4EB95CE15141}" name="Link"/>
    <tableColumn id="11" xr3:uid="{33654644-9A6C-4141-AB8A-4169D796EC2F}" name="Applied"/>
    <tableColumn id="10" xr3:uid="{C3E7FA99-F23F-4639-9E9E-6DAAEEC7A8AE}" name="Notes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1E42E2D-9586-4346-8B93-F6BD5FB3E934}" name="Table3" displayName="Table3" ref="O24:O32" totalsRowShown="0">
  <autoFilter ref="O24:O32" xr:uid="{8407A920-F96C-487C-8A10-7E403F76ED8D}"/>
  <tableColumns count="1">
    <tableColumn id="1" xr3:uid="{FCE268EC-70A9-4814-A9F5-8BB2DBE8538D}" name="Skills"/>
  </tableColumns>
  <tableStyleInfo name="TableStyleMedium2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8" dT="2019-06-11T22:59:38.81" personId="{EB0695EF-8373-4FBD-B299-7EB73C2F6D8E}" id="{BC2EE5A1-BB54-456F-9934-EADD9EB756EA}">
    <text>Include IMDB API project</text>
  </threadedComment>
  <threadedComment ref="L9" dT="2019-06-11T23:06:49.60" personId="{EB0695EF-8373-4FBD-B299-7EB73C2F6D8E}" id="{E3A5DD46-8BC5-41C7-88C6-ECD15B128E55}">
    <text>Include farmiliarity with Parcel Web bundler</text>
  </threadedComment>
  <threadedComment ref="L10" dT="2019-06-11T23:18:33.33" personId="{EB0695EF-8373-4FBD-B299-7EB73C2F6D8E}" id="{A1959D12-6934-41DC-9EED-5451C246142C}">
    <text>Emphasise the use of CMS is node.js app</text>
  </threadedComment>
  <threadedComment ref="L18" dT="2019-06-12T00:52:41.65" personId="{EB0695EF-8373-4FBD-B299-7EB73C2F6D8E}" id="{1E57A1B1-6111-4F78-854B-77054982B405}">
    <text>Mention thinkorswim
Brokerage/trading platform experience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indeed.com/viewjob?jk=779781f4c885e177&amp;from=recjobs&amp;vjtk=1dd4dmccpi08h800" TargetMode="External"/><Relationship Id="rId18" Type="http://schemas.openxmlformats.org/officeDocument/2006/relationships/printerSettings" Target="../printerSettings/printerSettings1.bin"/><Relationship Id="rId26" Type="http://schemas.openxmlformats.org/officeDocument/2006/relationships/ctrlProp" Target="../ctrlProps/ctrlProp6.xml"/><Relationship Id="rId39" Type="http://schemas.openxmlformats.org/officeDocument/2006/relationships/ctrlProp" Target="../ctrlProps/ctrlProp19.xml"/><Relationship Id="rId21" Type="http://schemas.openxmlformats.org/officeDocument/2006/relationships/ctrlProp" Target="../ctrlProps/ctrlProp1.xml"/><Relationship Id="rId34" Type="http://schemas.openxmlformats.org/officeDocument/2006/relationships/ctrlProp" Target="../ctrlProps/ctrlProp14.xml"/><Relationship Id="rId42" Type="http://schemas.openxmlformats.org/officeDocument/2006/relationships/comments" Target="../comments1.xml"/><Relationship Id="rId7" Type="http://schemas.openxmlformats.org/officeDocument/2006/relationships/hyperlink" Target="https://www.indeed.com/viewjob?jk=2e39e13fb69a0faf&amp;from=recjobs&amp;vjtk=1dd48mgtqi08g800" TargetMode="External"/><Relationship Id="rId2" Type="http://schemas.openxmlformats.org/officeDocument/2006/relationships/hyperlink" Target="https://www.indeed.com/cmp/Prime-Axis-Technologies/jobs/Python-Developer-32193990efb9f959?sjdu=QwrRXKrqZ3CNX5W-O9jEvbz72jM7uam2V7CQRxfyL2Jirky2JOFaeUivyJz3tN5gbC4f6PcD1GYU36FnwrkdLA&amp;tk=1dd48lp1o27tt003&amp;adid=296565121&amp;vjs=3" TargetMode="External"/><Relationship Id="rId16" Type="http://schemas.openxmlformats.org/officeDocument/2006/relationships/hyperlink" Target="https://www.capitalonecareers.com/job/plano/software-engineer/1732/11433674" TargetMode="External"/><Relationship Id="rId20" Type="http://schemas.openxmlformats.org/officeDocument/2006/relationships/vmlDrawing" Target="../drawings/vmlDrawing1.vml"/><Relationship Id="rId29" Type="http://schemas.openxmlformats.org/officeDocument/2006/relationships/ctrlProp" Target="../ctrlProps/ctrlProp9.xml"/><Relationship Id="rId41" Type="http://schemas.openxmlformats.org/officeDocument/2006/relationships/table" Target="../tables/table3.xml"/><Relationship Id="rId1" Type="http://schemas.openxmlformats.org/officeDocument/2006/relationships/hyperlink" Target="https://www.indeed.com/cmp/Indeed-Prime/jobs/Software-Engineer-63137f30e39ba54c?sjdu=QwrRXKrqZ3CNX5W-O9jEvRFd8FQI4DEv5V74lSpSnHbeyUefy-E2dCuvkov3qMM114FLLNXhiXy3oCnIEEdwgw&amp;tk=1dd48lp1o27tt003&amp;adid=295686532&amp;vjs=3" TargetMode="External"/><Relationship Id="rId6" Type="http://schemas.openxmlformats.org/officeDocument/2006/relationships/hyperlink" Target="https://www.indeed.com/cmp/MachineCDN-LLC/jobs/Full-Stack-Engineer-May-34744649662117dc?sjdu=QwrRXKrqZ3CNX5W-O9jEvRQls7y2xdBHzhqWkvhd5FForFMTpd9UUV73EbYEynXoZ48CNX1d4F08hgRXzvwpxLkuuwc22XTGTg9N6joRF40jiaomnPbgT8DSOHUMQjak&amp;tk=1dd48lp1o27tt003&amp;adid=64944351&amp;vjs=3" TargetMode="External"/><Relationship Id="rId11" Type="http://schemas.openxmlformats.org/officeDocument/2006/relationships/hyperlink" Target="https://www.indeed.com/viewjob?jk=093967608a76deed&amp;from=recjobs&amp;vjtk=1dd4e4sali08g800" TargetMode="External"/><Relationship Id="rId24" Type="http://schemas.openxmlformats.org/officeDocument/2006/relationships/ctrlProp" Target="../ctrlProps/ctrlProp4.xml"/><Relationship Id="rId32" Type="http://schemas.openxmlformats.org/officeDocument/2006/relationships/ctrlProp" Target="../ctrlProps/ctrlProp12.xml"/><Relationship Id="rId37" Type="http://schemas.openxmlformats.org/officeDocument/2006/relationships/ctrlProp" Target="../ctrlProps/ctrlProp17.xml"/><Relationship Id="rId40" Type="http://schemas.openxmlformats.org/officeDocument/2006/relationships/table" Target="../tables/table2.xml"/><Relationship Id="rId5" Type="http://schemas.openxmlformats.org/officeDocument/2006/relationships/hyperlink" Target="https://www.indeed.com/viewjob?jk=983050d7bfc1deb6&amp;from=recjobs&amp;vjtk=1dd48m7m0i08h800" TargetMode="External"/><Relationship Id="rId15" Type="http://schemas.openxmlformats.org/officeDocument/2006/relationships/hyperlink" Target="https://www.indeed.com/viewjob?jk=3ccc3b5addae8735&amp;q=Python&amp;l=Wylie%2C+TX&amp;tk=1dd48lp1o27tt003&amp;from=web&amp;vjs=3" TargetMode="External"/><Relationship Id="rId23" Type="http://schemas.openxmlformats.org/officeDocument/2006/relationships/ctrlProp" Target="../ctrlProps/ctrlProp3.xml"/><Relationship Id="rId28" Type="http://schemas.openxmlformats.org/officeDocument/2006/relationships/ctrlProp" Target="../ctrlProps/ctrlProp8.xml"/><Relationship Id="rId36" Type="http://schemas.openxmlformats.org/officeDocument/2006/relationships/ctrlProp" Target="../ctrlProps/ctrlProp16.xml"/><Relationship Id="rId10" Type="http://schemas.openxmlformats.org/officeDocument/2006/relationships/hyperlink" Target="https://www.indeed.com/viewjob?jk=5f2f068ba616f055&amp;from=recjobs&amp;vjtk=1dd4dmccpi08h800" TargetMode="External"/><Relationship Id="rId19" Type="http://schemas.openxmlformats.org/officeDocument/2006/relationships/drawing" Target="../drawings/drawing2.xml"/><Relationship Id="rId31" Type="http://schemas.openxmlformats.org/officeDocument/2006/relationships/ctrlProp" Target="../ctrlProps/ctrlProp11.xml"/><Relationship Id="rId4" Type="http://schemas.openxmlformats.org/officeDocument/2006/relationships/hyperlink" Target="https://www.indeed.com/viewjob?jk=46ca25d192835c0a&amp;tk=1dd48m7irhnl6800&amp;from=serp&amp;vjs=3&amp;advn=3411935652289106&amp;adid=285425124&amp;sjdu=teYnAu8OgCGxABCwWD3OBGSvNPsXXaEnWLrUq8268_QKmJVucdewCATuQgtRMxe-TPgNNiw8lu0LB7nMsCyE7kmXMW6DzK2DE5Ha1vq19fIUqPXRaQHE7rNkCpu5bPb9vvcRVFbuoz-8ztiv683BT0e8meG8zHCb5IOq_-hHlBSCgnVQy2pSMNjKZ9NCrdofYAdBQK6pZiHpD1vTz36-MmRx1z2cK-_gZrhuyizpI3BKrTwPZM87oODmWnDBAkSgeOGe8DdlUKWnd9v_Pw4XLEGgXJs9FfUaH8N5brXzTqEyTnLY_gtCZK9MMO80TIAr" TargetMode="External"/><Relationship Id="rId9" Type="http://schemas.openxmlformats.org/officeDocument/2006/relationships/hyperlink" Target="https://www.indeed.com/viewjob?jk=4f194cd718e1dcc7&amp;from=recjobs&amp;vjtk=1dd4di87ii08h800" TargetMode="External"/><Relationship Id="rId14" Type="http://schemas.openxmlformats.org/officeDocument/2006/relationships/hyperlink" Target="https://www.indeed.com/viewjob?jk=f34d94ff68ed1832&amp;from=recjobs&amp;vjtk=1dd4hp7qihp9l800I" TargetMode="External"/><Relationship Id="rId22" Type="http://schemas.openxmlformats.org/officeDocument/2006/relationships/ctrlProp" Target="../ctrlProps/ctrlProp2.xml"/><Relationship Id="rId27" Type="http://schemas.openxmlformats.org/officeDocument/2006/relationships/ctrlProp" Target="../ctrlProps/ctrlProp7.xml"/><Relationship Id="rId30" Type="http://schemas.openxmlformats.org/officeDocument/2006/relationships/ctrlProp" Target="../ctrlProps/ctrlProp10.xml"/><Relationship Id="rId35" Type="http://schemas.openxmlformats.org/officeDocument/2006/relationships/ctrlProp" Target="../ctrlProps/ctrlProp15.xml"/><Relationship Id="rId43" Type="http://schemas.microsoft.com/office/2017/10/relationships/threadedComment" Target="../threadedComments/threadedComment1.xml"/><Relationship Id="rId8" Type="http://schemas.openxmlformats.org/officeDocument/2006/relationships/hyperlink" Target="https://www.indeed.com/viewjob?jk=070a88bb81fccc19&amp;from=recjobs&amp;vjtk=1dd4d11rui08h800" TargetMode="External"/><Relationship Id="rId3" Type="http://schemas.openxmlformats.org/officeDocument/2006/relationships/hyperlink" Target="https://www.indeed.com/viewjob?jk=0072aa897e73a8f9&amp;tk=1dd48m4auhnl6800&amp;from=serp&amp;vjs=3&amp;advn=3411935652289106&amp;adid=285425124&amp;sjdu=teYnAu8OgCGxABCwWD3OBGSvNPsXXaEnWLrUq8268_QKmJVucdewCATuQgtRMxe-TPgNNiw8lu0LB7nMsCyE7kmXMW6DzK2DE5Ha1vq19fIWUnxYH_6BOSq98bsBWSK7vvcRVFbuoz-8ztiv683BT0e8meG8zHCb5IOq_-hHlBSCgnVQy2pSMNjKZ9NCrdofYAdBQK6pZiHpD1vTz36-MmRx1z2cK-_gZrhuyizpI3BKrTwPZM87oODmWnDBAkSgeOGe8DdlUKWnd9v_Pw4XLEGgXJs9FfUaH8N5brXzTqEyTnLY_gtCZK9MMO80TIAr" TargetMode="External"/><Relationship Id="rId12" Type="http://schemas.openxmlformats.org/officeDocument/2006/relationships/hyperlink" Target="https://www.indeed.com/viewjob?jk=9223ae04a3f71dc6&amp;from=recjobs&amp;vjtk=1dd4f9vo35mai800" TargetMode="External"/><Relationship Id="rId17" Type="http://schemas.openxmlformats.org/officeDocument/2006/relationships/hyperlink" Target="https://www.capitalonecareers.com/job/plano/full-stack-software-engineer/1732/11777976" TargetMode="External"/><Relationship Id="rId25" Type="http://schemas.openxmlformats.org/officeDocument/2006/relationships/ctrlProp" Target="../ctrlProps/ctrlProp5.xml"/><Relationship Id="rId33" Type="http://schemas.openxmlformats.org/officeDocument/2006/relationships/ctrlProp" Target="../ctrlProps/ctrlProp13.xml"/><Relationship Id="rId38" Type="http://schemas.openxmlformats.org/officeDocument/2006/relationships/ctrlProp" Target="../ctrlProps/ctrlProp1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C15AA-E789-445F-A0E4-3424FD2C692A}">
  <sheetPr codeName="Sheet1"/>
  <dimension ref="A1:L31"/>
  <sheetViews>
    <sheetView showGridLines="0" tabSelected="1" zoomScale="150" zoomScaleNormal="150" workbookViewId="0"/>
  </sheetViews>
  <sheetFormatPr defaultColWidth="0" defaultRowHeight="14.5" zeroHeight="1"/>
  <cols>
    <col min="1" max="1" width="2.453125" customWidth="1"/>
    <col min="2" max="2" width="10.08984375" bestFit="1" customWidth="1"/>
    <col min="3" max="4" width="9.1796875" customWidth="1"/>
    <col min="5" max="5" width="9.90625" customWidth="1"/>
    <col min="6" max="7" width="10.7265625" bestFit="1" customWidth="1"/>
    <col min="8" max="8" width="9.1796875" customWidth="1"/>
    <col min="9" max="11" width="8.7265625" customWidth="1"/>
    <col min="13" max="16384" width="8.7265625" hidden="1"/>
  </cols>
  <sheetData>
    <row r="1" spans="2:10" ht="11" customHeight="1"/>
    <row r="2" spans="2:10">
      <c r="B2" t="s">
        <v>7</v>
      </c>
      <c r="C2" t="s">
        <v>1</v>
      </c>
      <c r="D2" t="s">
        <v>2</v>
      </c>
      <c r="E2" s="6" t="s">
        <v>0</v>
      </c>
      <c r="F2" t="s">
        <v>29</v>
      </c>
      <c r="G2" t="s">
        <v>30</v>
      </c>
    </row>
    <row r="3" spans="2:10">
      <c r="B3" t="s">
        <v>17</v>
      </c>
      <c r="C3" s="3">
        <f>GetDuration(Table4[[#This Row],[City]],Stedfast,KEY)</f>
        <v>43.616666666666667</v>
      </c>
      <c r="D3" s="3">
        <f>GetDuration(Table4[[#This Row],[City]],Family,KEY)</f>
        <v>12.166666666666666</v>
      </c>
      <c r="E3" s="7">
        <f>GetDuration(Table4[[#This Row],[City]],Northlake,KEY)</f>
        <v>9.4666666666666668</v>
      </c>
      <c r="F3" s="3">
        <f>SUM(Table4[[#This Row],[Stedfast]:[Northalke]])/3</f>
        <v>21.75</v>
      </c>
      <c r="G3" s="3">
        <f>(Table4[[#This Row],[Family]]+Table4[[#This Row],[Northalke]])/2</f>
        <v>10.816666666666666</v>
      </c>
      <c r="J3" s="3"/>
    </row>
    <row r="4" spans="2:10">
      <c r="B4" t="s">
        <v>127</v>
      </c>
      <c r="C4" s="3">
        <f>GetDuration(Table4[[#This Row],[City]],Stedfast,KEY)</f>
        <v>44.033333333333331</v>
      </c>
      <c r="D4" s="3">
        <f>GetDuration(Table4[[#This Row],[City]],Family,KEY)</f>
        <v>11.366666666666667</v>
      </c>
      <c r="E4" s="7">
        <f>GetDuration(Table4[[#This Row],[City]],Northlake,KEY)</f>
        <v>14</v>
      </c>
      <c r="F4" s="3">
        <f>SUM(Table4[[#This Row],[Stedfast]:[Northalke]])/3</f>
        <v>23.133333333333336</v>
      </c>
      <c r="G4" s="3">
        <f>(Table4[[#This Row],[Family]]+Table4[[#This Row],[Northalke]])/2</f>
        <v>12.683333333333334</v>
      </c>
      <c r="J4" s="3"/>
    </row>
    <row r="5" spans="2:10">
      <c r="B5" t="s">
        <v>13</v>
      </c>
      <c r="C5" s="3">
        <f>GetDuration(Table4[[#This Row],[City]],Stedfast,KEY)</f>
        <v>41.516666666666666</v>
      </c>
      <c r="D5" s="3">
        <f>GetDuration(Table4[[#This Row],[City]],Family,KEY)</f>
        <v>23.65</v>
      </c>
      <c r="E5" s="7">
        <f>GetDuration(Table4[[#This Row],[City]],Northlake,KEY)</f>
        <v>6.6</v>
      </c>
      <c r="F5" s="3">
        <f>SUM(Table4[[#This Row],[Stedfast]:[Northalke]])/3</f>
        <v>23.922222222222217</v>
      </c>
      <c r="G5" s="3">
        <f>(Table4[[#This Row],[Family]]+Table4[[#This Row],[Northalke]])/2</f>
        <v>15.125</v>
      </c>
      <c r="J5" s="3"/>
    </row>
    <row r="6" spans="2:10">
      <c r="B6" t="s">
        <v>39</v>
      </c>
      <c r="C6" s="3">
        <f>GetDuration(Table4[[#This Row],[City]],Stedfast,KEY)</f>
        <v>38.116666666666667</v>
      </c>
      <c r="D6" s="3">
        <f>GetDuration(Table4[[#This Row],[City]],Family,KEY)</f>
        <v>20.766666666666666</v>
      </c>
      <c r="E6" s="7">
        <f>GetDuration(Table4[[#This Row],[City]],Northlake,KEY)</f>
        <v>14.366666666666667</v>
      </c>
      <c r="F6" s="3">
        <f>SUM(Table4[[#This Row],[Stedfast]:[Northalke]])/3</f>
        <v>24.416666666666668</v>
      </c>
      <c r="G6" s="3">
        <f>(Table4[[#This Row],[Family]]+Table4[[#This Row],[Northalke]])/2</f>
        <v>17.566666666666666</v>
      </c>
    </row>
    <row r="7" spans="2:10">
      <c r="B7" t="s">
        <v>18</v>
      </c>
      <c r="C7" s="3">
        <f>GetDuration(Table4[[#This Row],[City]],Stedfast,KEY)</f>
        <v>39.466666666666669</v>
      </c>
      <c r="D7" s="3">
        <f>GetDuration(Table4[[#This Row],[City]],Family,KEY)</f>
        <v>23.216666666666665</v>
      </c>
      <c r="E7" s="7">
        <f>GetDuration(Table4[[#This Row],[City]],Northlake,KEY)</f>
        <v>10.933333333333334</v>
      </c>
      <c r="F7" s="3">
        <f>SUM(Table4[[#This Row],[Stedfast]:[Northalke]])/3</f>
        <v>24.538888888888891</v>
      </c>
      <c r="G7" s="3">
        <f>(Table4[[#This Row],[Family]]+Table4[[#This Row],[Northalke]])/2</f>
        <v>17.074999999999999</v>
      </c>
    </row>
    <row r="8" spans="2:10">
      <c r="B8" t="s">
        <v>10</v>
      </c>
      <c r="C8" s="3">
        <f>GetDuration(Table4[[#This Row],[City]],Stedfast,KEY)</f>
        <v>31.7</v>
      </c>
      <c r="D8" s="3">
        <f>GetDuration(Table4[[#This Row],[City]],Family,KEY)</f>
        <v>26.033333333333335</v>
      </c>
      <c r="E8" s="7">
        <f>GetDuration(Table4[[#This Row],[City]],Northlake,KEY)</f>
        <v>16.716666666666665</v>
      </c>
      <c r="F8" s="3">
        <f>SUM(Table4[[#This Row],[Stedfast]:[Northalke]])/3</f>
        <v>24.816666666666666</v>
      </c>
      <c r="G8" s="3">
        <f>(Table4[[#This Row],[Family]]+Table4[[#This Row],[Northalke]])/2</f>
        <v>21.375</v>
      </c>
    </row>
    <row r="9" spans="2:10">
      <c r="B9" t="s">
        <v>19</v>
      </c>
      <c r="C9" s="3">
        <f>GetDuration(Table4[[#This Row],[City]],Stedfast,KEY)</f>
        <v>43.4</v>
      </c>
      <c r="D9" s="3">
        <f>GetDuration(Table4[[#This Row],[City]],Family,KEY)</f>
        <v>22.9</v>
      </c>
      <c r="E9" s="7">
        <f>GetDuration(Table4[[#This Row],[City]],Northlake,KEY)</f>
        <v>13.166666666666666</v>
      </c>
      <c r="F9" s="3">
        <f>SUM(Table4[[#This Row],[Stedfast]:[Northalke]])/3</f>
        <v>26.488888888888891</v>
      </c>
      <c r="G9" s="3">
        <f>(Table4[[#This Row],[Family]]+Table4[[#This Row],[Northalke]])/2</f>
        <v>18.033333333333331</v>
      </c>
      <c r="H9" s="1"/>
    </row>
    <row r="10" spans="2:10">
      <c r="B10" t="s">
        <v>38</v>
      </c>
      <c r="C10" s="3">
        <f>GetDuration(Table4[[#This Row],[City]],Stedfast,KEY)</f>
        <v>42.65</v>
      </c>
      <c r="D10" s="3">
        <f>GetDuration(Table4[[#This Row],[City]],Family,KEY)</f>
        <v>19.383333333333333</v>
      </c>
      <c r="E10" s="7">
        <f>GetDuration(Table4[[#This Row],[City]],Northlake,KEY)</f>
        <v>20.383333333333333</v>
      </c>
      <c r="F10" s="3">
        <f>SUM(Table4[[#This Row],[Stedfast]:[Northalke]])/3</f>
        <v>27.472222222222218</v>
      </c>
      <c r="G10" s="3">
        <f>(Table4[[#This Row],[Family]]+Table4[[#This Row],[Northalke]])/2</f>
        <v>19.883333333333333</v>
      </c>
      <c r="H10" s="1"/>
    </row>
    <row r="11" spans="2:10">
      <c r="B11" t="s">
        <v>40</v>
      </c>
      <c r="C11" s="3">
        <f>GetDuration(Table4[[#This Row],[City]],Stedfast,KEY)</f>
        <v>26.333333333333332</v>
      </c>
      <c r="D11" s="3">
        <f>GetDuration(Table4[[#This Row],[City]],Family,KEY)</f>
        <v>34.18333333333333</v>
      </c>
      <c r="E11" s="7">
        <f>GetDuration(Table4[[#This Row],[City]],Northlake,KEY)</f>
        <v>24.066666666666666</v>
      </c>
      <c r="F11" s="3">
        <f>SUM(Table4[[#This Row],[Stedfast]:[Northalke]])/3</f>
        <v>28.194444444444443</v>
      </c>
      <c r="G11" s="3">
        <f>(Table4[[#This Row],[Family]]+Table4[[#This Row],[Northalke]])/2</f>
        <v>29.125</v>
      </c>
      <c r="H11" s="1"/>
    </row>
    <row r="12" spans="2:10">
      <c r="B12" t="s">
        <v>15</v>
      </c>
      <c r="C12" s="3">
        <f>GetDuration(Table4[[#This Row],[City]],Stedfast,KEY)</f>
        <v>29.65</v>
      </c>
      <c r="D12" s="3">
        <f>GetDuration(Table4[[#This Row],[City]],Family,KEY)</f>
        <v>33.366666666666667</v>
      </c>
      <c r="E12" s="7">
        <f>GetDuration(Table4[[#This Row],[City]],Northlake,KEY)</f>
        <v>23.25</v>
      </c>
      <c r="F12" s="3">
        <f>SUM(Table4[[#This Row],[Stedfast]:[Northalke]])/3</f>
        <v>28.755555555555556</v>
      </c>
      <c r="G12" s="3">
        <f>(Table4[[#This Row],[Family]]+Table4[[#This Row],[Northalke]])/2</f>
        <v>28.308333333333334</v>
      </c>
      <c r="H12" s="1"/>
    </row>
    <row r="13" spans="2:10">
      <c r="B13" t="s">
        <v>14</v>
      </c>
      <c r="C13" s="3">
        <f>GetDuration(Table4[[#This Row],[City]],Stedfast,KEY)</f>
        <v>45.116666666666667</v>
      </c>
      <c r="D13" s="3">
        <f>GetDuration(Table4[[#This Row],[City]],Family,KEY)</f>
        <v>24.583333333333332</v>
      </c>
      <c r="E13" s="7">
        <f>GetDuration(Table4[[#This Row],[City]],Northlake,KEY)</f>
        <v>19.966666666666665</v>
      </c>
      <c r="F13" s="3">
        <f>SUM(Table4[[#This Row],[Stedfast]:[Northalke]])/3</f>
        <v>29.888888888888889</v>
      </c>
      <c r="G13" s="3">
        <f>(Table4[[#This Row],[Family]]+Table4[[#This Row],[Northalke]])/2</f>
        <v>22.274999999999999</v>
      </c>
      <c r="H13" s="1"/>
    </row>
    <row r="14" spans="2:10">
      <c r="B14" t="s">
        <v>36</v>
      </c>
      <c r="C14" s="3">
        <f>GetDuration(Table4[[#This Row],[City]],Stedfast,KEY)</f>
        <v>21.15</v>
      </c>
      <c r="D14" s="3">
        <f>GetDuration(Table4[[#This Row],[City]],Family,KEY)</f>
        <v>40.950000000000003</v>
      </c>
      <c r="E14" s="7">
        <f>GetDuration(Table4[[#This Row],[City]],Northlake,KEY)</f>
        <v>31.433333333333334</v>
      </c>
      <c r="F14" s="3">
        <f>SUM(Table4[[#This Row],[Stedfast]:[Northalke]])/3</f>
        <v>31.177777777777777</v>
      </c>
      <c r="G14" s="3">
        <f>(Table4[[#This Row],[Family]]+Table4[[#This Row],[Northalke]])/2</f>
        <v>36.19166666666667</v>
      </c>
      <c r="H14" s="1"/>
    </row>
    <row r="15" spans="2:10">
      <c r="B15" t="s">
        <v>37</v>
      </c>
      <c r="C15" s="3">
        <f>GetDuration(Table4[[#This Row],[City]],Stedfast,KEY)</f>
        <v>45.016666666666666</v>
      </c>
      <c r="D15" s="3">
        <f>GetDuration(Table4[[#This Row],[City]],Family,KEY)</f>
        <v>26.133333333333333</v>
      </c>
      <c r="E15" s="7">
        <f>GetDuration(Table4[[#This Row],[City]],Northlake,KEY)</f>
        <v>24.583333333333332</v>
      </c>
      <c r="F15" s="3">
        <f>SUM(Table4[[#This Row],[Stedfast]:[Northalke]])/3</f>
        <v>31.911111111111111</v>
      </c>
      <c r="G15" s="3">
        <f>(Table4[[#This Row],[Family]]+Table4[[#This Row],[Northalke]])/2</f>
        <v>25.358333333333334</v>
      </c>
      <c r="H15" s="1"/>
    </row>
    <row r="16" spans="2:10">
      <c r="B16" t="s">
        <v>16</v>
      </c>
      <c r="C16" s="3">
        <f>GetDuration(Table4[[#This Row],[City]],Stedfast,KEY)</f>
        <v>29.783333333333335</v>
      </c>
      <c r="D16" s="3">
        <f>GetDuration(Table4[[#This Row],[City]],Family,KEY)</f>
        <v>38.266666666666666</v>
      </c>
      <c r="E16" s="7">
        <f>GetDuration(Table4[[#This Row],[City]],Northlake,KEY)</f>
        <v>28.15</v>
      </c>
      <c r="F16" s="3">
        <f>SUM(Table4[[#This Row],[Stedfast]:[Northalke]])/3</f>
        <v>32.066666666666663</v>
      </c>
      <c r="G16" s="3">
        <f>(Table4[[#This Row],[Family]]+Table4[[#This Row],[Northalke]])/2</f>
        <v>33.208333333333329</v>
      </c>
      <c r="H16" s="1"/>
    </row>
    <row r="17" spans="2:8">
      <c r="B17" t="s">
        <v>128</v>
      </c>
      <c r="C17" s="3">
        <f>GetDuration(Table4[[#This Row],[City]],Stedfast,KEY)</f>
        <v>29.133333333333333</v>
      </c>
      <c r="D17" s="3">
        <f>GetDuration(Table4[[#This Row],[City]],Family,KEY)</f>
        <v>38.700000000000003</v>
      </c>
      <c r="E17" s="7">
        <f>GetDuration(Table4[[#This Row],[City]],Northlake,KEY)</f>
        <v>28.583333333333332</v>
      </c>
      <c r="F17" s="3">
        <f>SUM(Table4[[#This Row],[Stedfast]:[Northalke]])/3</f>
        <v>32.138888888888893</v>
      </c>
      <c r="G17" s="3">
        <f>(Table4[[#This Row],[Family]]+Table4[[#This Row],[Northalke]])/2</f>
        <v>33.641666666666666</v>
      </c>
      <c r="H17" s="1"/>
    </row>
    <row r="18" spans="2:8">
      <c r="B18" t="s">
        <v>35</v>
      </c>
      <c r="C18" s="3">
        <f>GetDuration(Table4[[#This Row],[City]],Stedfast,KEY)</f>
        <v>32.35</v>
      </c>
      <c r="D18" s="3">
        <f>GetDuration(Table4[[#This Row],[City]],Family,KEY)</f>
        <v>38.85</v>
      </c>
      <c r="E18" s="7">
        <f>GetDuration(Table4[[#This Row],[City]],Northlake,KEY)</f>
        <v>30.1</v>
      </c>
      <c r="F18" s="3">
        <f>SUM(Table4[[#This Row],[Stedfast]:[Northalke]])/3</f>
        <v>33.766666666666673</v>
      </c>
      <c r="G18" s="3">
        <f>(Table4[[#This Row],[Family]]+Table4[[#This Row],[Northalke]])/2</f>
        <v>34.475000000000001</v>
      </c>
      <c r="H18" s="1"/>
    </row>
    <row r="19" spans="2:8">
      <c r="B19" t="s">
        <v>48</v>
      </c>
      <c r="C19" s="3">
        <f>GetDuration(Table4[[#This Row],[City]],Stedfast,KEY)</f>
        <v>29.433333333333334</v>
      </c>
      <c r="D19" s="3">
        <f>GetDuration(Table4[[#This Row],[City]],Family,KEY)</f>
        <v>41.666666666666664</v>
      </c>
      <c r="E19" s="7">
        <f>GetDuration(Table4[[#This Row],[City]],Northlake,KEY)</f>
        <v>31.55</v>
      </c>
      <c r="F19" s="3">
        <f>SUM(Table4[[#This Row],[Stedfast]:[Northalke]])/3</f>
        <v>34.216666666666661</v>
      </c>
      <c r="G19" s="3">
        <f>(Table4[[#This Row],[Family]]+Table4[[#This Row],[Northalke]])/2</f>
        <v>36.608333333333334</v>
      </c>
      <c r="H19" s="1"/>
    </row>
    <row r="20" spans="2:8">
      <c r="B20" t="s">
        <v>41</v>
      </c>
      <c r="C20" s="3">
        <f>GetDuration(Table4[[#This Row],[City]],Stedfast,KEY)</f>
        <v>18.600000000000001</v>
      </c>
      <c r="D20" s="3">
        <f>GetDuration(Table4[[#This Row],[City]],Family,KEY)</f>
        <v>47.783333333333331</v>
      </c>
      <c r="E20" s="7">
        <f>GetDuration(Table4[[#This Row],[City]],Northlake,KEY)</f>
        <v>37.666666666666664</v>
      </c>
      <c r="F20" s="3">
        <f>SUM(Table4[[#This Row],[Stedfast]:[Northalke]])/3</f>
        <v>34.68333333333333</v>
      </c>
      <c r="G20" s="3">
        <f>(Table4[[#This Row],[Family]]+Table4[[#This Row],[Northalke]])/2</f>
        <v>42.724999999999994</v>
      </c>
      <c r="H20" s="1"/>
    </row>
    <row r="21" spans="2:8">
      <c r="B21" t="s">
        <v>34</v>
      </c>
      <c r="C21" s="3">
        <f>GetDuration(Table4[[#This Row],[City]],Stedfast,KEY)</f>
        <v>38.4</v>
      </c>
      <c r="D21" s="3">
        <f>GetDuration(Table4[[#This Row],[City]],Family,KEY)</f>
        <v>37.533333333333331</v>
      </c>
      <c r="E21" s="7">
        <f>GetDuration(Table4[[#This Row],[City]],Northlake,KEY)</f>
        <v>28.566666666666666</v>
      </c>
      <c r="F21" s="3">
        <f>SUM(Table4[[#This Row],[Stedfast]:[Northalke]])/3</f>
        <v>34.833333333333336</v>
      </c>
      <c r="G21" s="3">
        <f>(Table4[[#This Row],[Family]]+Table4[[#This Row],[Northalke]])/2</f>
        <v>33.049999999999997</v>
      </c>
      <c r="H21" s="1"/>
    </row>
    <row r="22" spans="2:8">
      <c r="H22" s="1"/>
    </row>
    <row r="23" spans="2:8">
      <c r="B23" s="4" t="s">
        <v>31</v>
      </c>
      <c r="C23" s="4"/>
      <c r="D23" s="4"/>
      <c r="E23" s="4"/>
      <c r="F23" s="8">
        <f>AVERAGE(Table4[Priority 3])</f>
        <v>28.851169590643273</v>
      </c>
      <c r="G23" s="8">
        <f>AVERAGE(Table4[Priotity 2])</f>
        <v>25.659210526315793</v>
      </c>
    </row>
    <row r="24" spans="2:8">
      <c r="B24" s="5" t="s">
        <v>32</v>
      </c>
      <c r="C24" s="5"/>
      <c r="D24" s="5"/>
      <c r="E24" s="5"/>
      <c r="F24" s="9">
        <f>MAX(Table4[Priority 3])</f>
        <v>34.833333333333336</v>
      </c>
      <c r="G24" s="9">
        <f>MAX(Table4[Priotity 2])</f>
        <v>42.724999999999994</v>
      </c>
      <c r="H24" s="2"/>
    </row>
    <row r="25" spans="2:8">
      <c r="B25" s="4" t="s">
        <v>33</v>
      </c>
      <c r="C25" s="4"/>
      <c r="D25" s="4"/>
      <c r="E25" s="4"/>
      <c r="F25" s="8">
        <f>MIN(Table4[Priority 3])</f>
        <v>21.75</v>
      </c>
      <c r="G25" s="8">
        <f>MIN(Table4[Priotity 2])</f>
        <v>10.816666666666666</v>
      </c>
    </row>
    <row r="26" spans="2:8"/>
    <row r="27" spans="2:8"/>
    <row r="28" spans="2:8"/>
    <row r="29" spans="2:8"/>
    <row r="30" spans="2:8"/>
    <row r="31" spans="2:8"/>
  </sheetData>
  <phoneticPr fontId="2" type="noConversion"/>
  <conditionalFormatting sqref="F3:F2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:G2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47722-4AF7-4CE8-8E25-544795E27148}">
  <sheetPr codeName="Sheet2"/>
  <dimension ref="A1:V202"/>
  <sheetViews>
    <sheetView showGridLines="0" zoomScale="120" zoomScaleNormal="120" workbookViewId="0"/>
  </sheetViews>
  <sheetFormatPr defaultColWidth="0" defaultRowHeight="14.5" zeroHeight="1"/>
  <cols>
    <col min="1" max="1" width="2.453125" customWidth="1"/>
    <col min="2" max="2" width="20.90625" bestFit="1" customWidth="1"/>
    <col min="3" max="3" width="10.1796875" bestFit="1" customWidth="1"/>
    <col min="4" max="4" width="10" bestFit="1" customWidth="1"/>
    <col min="5" max="5" width="8.453125" bestFit="1" customWidth="1"/>
    <col min="6" max="6" width="11.453125" bestFit="1" customWidth="1"/>
    <col min="7" max="7" width="9.26953125" bestFit="1" customWidth="1"/>
    <col min="8" max="8" width="21.81640625" bestFit="1" customWidth="1"/>
    <col min="9" max="9" width="19.26953125" bestFit="1" customWidth="1"/>
    <col min="10" max="11" width="8.7265625" customWidth="1"/>
    <col min="12" max="12" width="29.26953125" bestFit="1" customWidth="1"/>
    <col min="13" max="13" width="12.6328125" customWidth="1"/>
    <col min="14" max="14" width="8.7265625" customWidth="1"/>
    <col min="15" max="15" width="10.6328125" bestFit="1" customWidth="1"/>
    <col min="16" max="21" width="8.7265625" customWidth="1"/>
    <col min="23" max="16384" width="8.7265625" hidden="1"/>
  </cols>
  <sheetData>
    <row r="1" spans="2:14" ht="11.5" customHeight="1"/>
    <row r="2" spans="2:14">
      <c r="B2" t="s">
        <v>20</v>
      </c>
      <c r="C2" s="6" t="s">
        <v>21</v>
      </c>
      <c r="D2" t="s">
        <v>1</v>
      </c>
      <c r="E2" t="s">
        <v>2</v>
      </c>
      <c r="F2" t="s">
        <v>22</v>
      </c>
      <c r="G2" s="6" t="s">
        <v>23</v>
      </c>
      <c r="H2" t="s">
        <v>24</v>
      </c>
      <c r="I2" t="s">
        <v>25</v>
      </c>
      <c r="J2" t="s">
        <v>26</v>
      </c>
      <c r="K2" t="s">
        <v>55</v>
      </c>
      <c r="L2" t="s">
        <v>49</v>
      </c>
    </row>
    <row r="3" spans="2:14">
      <c r="B3" t="s">
        <v>50</v>
      </c>
      <c r="C3" s="6" t="s">
        <v>51</v>
      </c>
      <c r="D3" s="3">
        <f>GetDuration(Table2[[#This Row],[Location]],Stedfast,KEY)</f>
        <v>21.15</v>
      </c>
      <c r="E3" s="3">
        <f>GetDuration(Table2[[#This Row],[Location]],Family,KEY)</f>
        <v>40.950000000000003</v>
      </c>
      <c r="F3" s="3">
        <f>GetDuration(Table2[[#This Row],[Location]],Northlake,KEY)</f>
        <v>31.433333333333334</v>
      </c>
      <c r="G3" s="36">
        <f>IFERROR((Table2[[#This Row],[Stedfast]]+Table2[[#This Row],[Family]]+Table2[[#This Row],[Northlake]])/3, "")</f>
        <v>31.177777777777777</v>
      </c>
      <c r="H3" t="s">
        <v>56</v>
      </c>
      <c r="I3" t="s">
        <v>54</v>
      </c>
      <c r="J3" s="1" t="s">
        <v>53</v>
      </c>
      <c r="K3" s="1"/>
      <c r="L3" t="s">
        <v>52</v>
      </c>
    </row>
    <row r="4" spans="2:14">
      <c r="B4" t="s">
        <v>57</v>
      </c>
      <c r="C4" s="6" t="s">
        <v>75</v>
      </c>
      <c r="D4" s="3">
        <f>GetDuration(Table2[[#This Row],[Location]],Stedfast,KEY)</f>
        <v>31.766666666666666</v>
      </c>
      <c r="E4" s="3">
        <f>GetDuration(Table2[[#This Row],[Location]],Family,KEY)</f>
        <v>32.049999999999997</v>
      </c>
      <c r="F4" s="3">
        <f>GetDuration(Table2[[#This Row],[Location]],Northlake,KEY)</f>
        <v>21.933333333333334</v>
      </c>
      <c r="G4" s="36">
        <f>IFERROR((Table2[[#This Row],[Stedfast]]+Table2[[#This Row],[Family]]+Table2[[#This Row],[Northlake]])/3, "")</f>
        <v>28.583333333333332</v>
      </c>
      <c r="H4" t="s">
        <v>58</v>
      </c>
      <c r="I4" t="s">
        <v>60</v>
      </c>
      <c r="J4" s="1" t="s">
        <v>53</v>
      </c>
      <c r="K4" s="1"/>
      <c r="L4" t="s">
        <v>59</v>
      </c>
    </row>
    <row r="5" spans="2:14" ht="30" hidden="1" customHeight="1">
      <c r="B5" s="10" t="s">
        <v>63</v>
      </c>
      <c r="C5" s="11" t="s">
        <v>64</v>
      </c>
      <c r="D5" s="40">
        <f>GetDuration(Table2[[#This Row],[Location]],Stedfast,KEY)</f>
        <v>35.733333333333334</v>
      </c>
      <c r="E5" s="40">
        <f>GetDuration(Table2[[#This Row],[Location]],Family,KEY)</f>
        <v>33.43333333333333</v>
      </c>
      <c r="F5" s="40">
        <f>GetDuration(Table2[[#This Row],[Location]],Northlake,KEY)</f>
        <v>25.9</v>
      </c>
      <c r="G5" s="37">
        <f>IFERROR((Table2[[#This Row],[Stedfast]]+Table2[[#This Row],[Family]]+Table2[[#This Row],[Northlake]])/3, "")</f>
        <v>31.688888888888886</v>
      </c>
      <c r="H5" s="10" t="s">
        <v>62</v>
      </c>
      <c r="I5" s="12" t="s">
        <v>65</v>
      </c>
      <c r="J5" s="13" t="s">
        <v>53</v>
      </c>
      <c r="K5" s="13"/>
      <c r="L5" s="10" t="s">
        <v>61</v>
      </c>
    </row>
    <row r="6" spans="2:14" hidden="1">
      <c r="B6" s="10" t="s">
        <v>63</v>
      </c>
      <c r="C6" s="6" t="s">
        <v>66</v>
      </c>
      <c r="D6" s="3">
        <f>GetDuration(Table2[[#This Row],[Location]],Stedfast,KEY)</f>
        <v>37.083333333333336</v>
      </c>
      <c r="E6" s="3">
        <f>GetDuration(Table2[[#This Row],[Location]],Family,KEY)</f>
        <v>33.9</v>
      </c>
      <c r="F6" s="3">
        <f>GetDuration(Table2[[#This Row],[Location]],Northlake,KEY)</f>
        <v>27.766666666666666</v>
      </c>
      <c r="G6" s="36">
        <f>IFERROR((Table2[[#This Row],[Stedfast]]+Table2[[#This Row],[Family]]+Table2[[#This Row],[Northlake]])/3, "")</f>
        <v>32.916666666666664</v>
      </c>
      <c r="H6" t="s">
        <v>73</v>
      </c>
      <c r="I6" t="s">
        <v>54</v>
      </c>
      <c r="J6" s="1" t="s">
        <v>53</v>
      </c>
      <c r="K6" s="1"/>
      <c r="L6" s="10" t="s">
        <v>61</v>
      </c>
      <c r="N6" s="1" t="s">
        <v>102</v>
      </c>
    </row>
    <row r="7" spans="2:14" hidden="1">
      <c r="B7" s="10" t="s">
        <v>63</v>
      </c>
      <c r="C7" s="6" t="s">
        <v>66</v>
      </c>
      <c r="D7" s="3">
        <f>GetDuration(Table2[[#This Row],[Location]],Stedfast,KEY)</f>
        <v>37.083333333333336</v>
      </c>
      <c r="E7" s="3">
        <f>GetDuration(Table2[[#This Row],[Location]],Family,KEY)</f>
        <v>33.9</v>
      </c>
      <c r="F7" s="3">
        <f>GetDuration(Table2[[#This Row],[Location]],Northlake,KEY)</f>
        <v>27.766666666666666</v>
      </c>
      <c r="G7" s="36">
        <f>IFERROR((Table2[[#This Row],[Stedfast]]+Table2[[#This Row],[Family]]+Table2[[#This Row],[Northlake]])/3, "")</f>
        <v>32.916666666666664</v>
      </c>
      <c r="H7" t="s">
        <v>62</v>
      </c>
      <c r="I7" t="s">
        <v>104</v>
      </c>
      <c r="J7" s="1" t="s">
        <v>102</v>
      </c>
      <c r="K7" s="1"/>
      <c r="L7" s="10"/>
    </row>
    <row r="8" spans="2:14">
      <c r="B8" t="s">
        <v>67</v>
      </c>
      <c r="C8" s="6" t="s">
        <v>68</v>
      </c>
      <c r="D8" s="3">
        <f>GetDuration(Table2[[#This Row],[Location]],Stedfast,KEY)</f>
        <v>35</v>
      </c>
      <c r="E8" s="3">
        <f>GetDuration(Table2[[#This Row],[Location]],Family,KEY)</f>
        <v>26.566666666666666</v>
      </c>
      <c r="F8" s="3">
        <f>GetDuration(Table2[[#This Row],[Location]],Northlake,KEY)</f>
        <v>15.1</v>
      </c>
      <c r="G8" s="36">
        <f>IFERROR((Table2[[#This Row],[Stedfast]]+Table2[[#This Row],[Family]]+Table2[[#This Row],[Northlake]])/3, "")</f>
        <v>25.555555555555554</v>
      </c>
      <c r="H8" t="s">
        <v>62</v>
      </c>
      <c r="I8" t="s">
        <v>70</v>
      </c>
      <c r="J8" s="1" t="s">
        <v>53</v>
      </c>
      <c r="K8" s="1"/>
      <c r="L8" t="s">
        <v>69</v>
      </c>
    </row>
    <row r="9" spans="2:14">
      <c r="B9" t="s">
        <v>72</v>
      </c>
      <c r="C9" s="6" t="s">
        <v>71</v>
      </c>
      <c r="D9" s="3">
        <f>GetDuration(Table2[[#This Row],[Location]],Stedfast,KEY)</f>
        <v>21.733333333333334</v>
      </c>
      <c r="E9" s="3">
        <f>GetDuration(Table2[[#This Row],[Location]],Family,KEY)</f>
        <v>44.833333333333336</v>
      </c>
      <c r="F9" s="3">
        <f>GetDuration(Table2[[#This Row],[Location]],Northlake,KEY)</f>
        <v>35.31666666666667</v>
      </c>
      <c r="G9" s="36">
        <f>IFERROR((Table2[[#This Row],[Stedfast]]+Table2[[#This Row],[Family]]+Table2[[#This Row],[Northlake]])/3, "")</f>
        <v>33.961111111111109</v>
      </c>
      <c r="H9" t="s">
        <v>73</v>
      </c>
      <c r="I9" t="s">
        <v>74</v>
      </c>
      <c r="J9" s="1" t="s">
        <v>53</v>
      </c>
      <c r="K9" s="1"/>
      <c r="L9" t="s">
        <v>106</v>
      </c>
    </row>
    <row r="10" spans="2:14">
      <c r="B10" t="s">
        <v>77</v>
      </c>
      <c r="C10" s="6" t="s">
        <v>76</v>
      </c>
      <c r="D10" s="3">
        <f>GetDuration(Table2[[#This Row],[Location]],Stedfast,KEY)</f>
        <v>27.45</v>
      </c>
      <c r="E10" s="3">
        <f>GetDuration(Table2[[#This Row],[Location]],Family,KEY)</f>
        <v>36.366666666666667</v>
      </c>
      <c r="F10" s="3">
        <f>GetDuration(Table2[[#This Row],[Location]],Northlake,KEY)</f>
        <v>26.25</v>
      </c>
      <c r="G10" s="36">
        <f>IFERROR((Table2[[#This Row],[Stedfast]]+Table2[[#This Row],[Family]]+Table2[[#This Row],[Northlake]])/3, "")</f>
        <v>30.022222222222222</v>
      </c>
      <c r="H10" t="s">
        <v>78</v>
      </c>
      <c r="I10" t="s">
        <v>79</v>
      </c>
      <c r="J10" s="1" t="s">
        <v>53</v>
      </c>
      <c r="K10" s="1"/>
      <c r="L10" t="s">
        <v>113</v>
      </c>
    </row>
    <row r="11" spans="2:14">
      <c r="B11" t="s">
        <v>80</v>
      </c>
      <c r="C11" s="6" t="s">
        <v>124</v>
      </c>
      <c r="D11" s="3">
        <f>GetDuration(Table2[[#This Row],[Location]],Stedfast,KEY)</f>
        <v>32.18333333333333</v>
      </c>
      <c r="E11" s="3">
        <f>GetDuration(Table2[[#This Row],[Location]],Family,KEY)</f>
        <v>30.466666666666665</v>
      </c>
      <c r="F11" s="3">
        <f>GetDuration(Table2[[#This Row],[Location]],Northlake,KEY)</f>
        <v>20.350000000000001</v>
      </c>
      <c r="G11" s="36">
        <f>IFERROR((Table2[[#This Row],[Stedfast]]+Table2[[#This Row],[Family]]+Table2[[#This Row],[Northlake]])/3, "")</f>
        <v>27.666666666666668</v>
      </c>
      <c r="H11" t="s">
        <v>78</v>
      </c>
      <c r="J11" s="1" t="s">
        <v>53</v>
      </c>
      <c r="K11" s="1"/>
    </row>
    <row r="12" spans="2:14">
      <c r="B12" t="s">
        <v>82</v>
      </c>
      <c r="C12" s="6" t="s">
        <v>83</v>
      </c>
      <c r="D12" s="3">
        <f>GetDuration(Table2[[#This Row],[Location]],Stedfast,KEY)</f>
        <v>23.2</v>
      </c>
      <c r="E12" s="3">
        <f>GetDuration(Table2[[#This Row],[Location]],Family,KEY)</f>
        <v>50.35</v>
      </c>
      <c r="F12" s="3">
        <f>GetDuration(Table2[[#This Row],[Location]],Northlake,KEY)</f>
        <v>40.833333333333336</v>
      </c>
      <c r="G12" s="36">
        <f>IFERROR((Table2[[#This Row],[Stedfast]]+Table2[[#This Row],[Family]]+Table2[[#This Row],[Northlake]])/3, "")</f>
        <v>38.127777777777773</v>
      </c>
      <c r="H12" t="s">
        <v>81</v>
      </c>
      <c r="J12" s="1" t="s">
        <v>53</v>
      </c>
      <c r="K12" s="1"/>
    </row>
    <row r="13" spans="2:14">
      <c r="B13" t="s">
        <v>84</v>
      </c>
      <c r="C13" s="6" t="s">
        <v>125</v>
      </c>
      <c r="D13" s="3">
        <f>GetDuration(Table2[[#This Row],[Location]],Stedfast,KEY)</f>
        <v>34.966666666666669</v>
      </c>
      <c r="E13" s="3">
        <f>GetDuration(Table2[[#This Row],[Location]],Family,KEY)</f>
        <v>30.45</v>
      </c>
      <c r="F13" s="3">
        <f>GetDuration(Table2[[#This Row],[Location]],Northlake,KEY)</f>
        <v>13.3</v>
      </c>
      <c r="G13" s="36">
        <f>IFERROR((Table2[[#This Row],[Stedfast]]+Table2[[#This Row],[Family]]+Table2[[#This Row],[Northlake]])/3, "")</f>
        <v>26.238888888888891</v>
      </c>
      <c r="H13" t="s">
        <v>88</v>
      </c>
      <c r="J13" s="1" t="s">
        <v>53</v>
      </c>
      <c r="K13" s="1"/>
    </row>
    <row r="14" spans="2:14">
      <c r="B14" t="s">
        <v>86</v>
      </c>
      <c r="C14" s="6" t="s">
        <v>85</v>
      </c>
      <c r="D14" s="3">
        <f>GetDuration(Table2[[#This Row],[Location]],Stedfast,KEY)</f>
        <v>31.1</v>
      </c>
      <c r="E14" s="3">
        <f>GetDuration(Table2[[#This Row],[Location]],Family,KEY)</f>
        <v>27.766666666666666</v>
      </c>
      <c r="F14" s="3">
        <f>GetDuration(Table2[[#This Row],[Location]],Northlake,KEY)</f>
        <v>17.3</v>
      </c>
      <c r="G14" s="36">
        <f>IFERROR((Table2[[#This Row],[Stedfast]]+Table2[[#This Row],[Family]]+Table2[[#This Row],[Northlake]])/3, "")</f>
        <v>25.388888888888889</v>
      </c>
      <c r="H14" t="s">
        <v>87</v>
      </c>
      <c r="J14" s="1" t="s">
        <v>53</v>
      </c>
      <c r="K14" s="1"/>
    </row>
    <row r="15" spans="2:14">
      <c r="B15" t="s">
        <v>89</v>
      </c>
      <c r="C15" s="6" t="s">
        <v>90</v>
      </c>
      <c r="D15" s="3">
        <f>GetDuration(Table2[[#This Row],[Location]],Stedfast,KEY)</f>
        <v>37.950000000000003</v>
      </c>
      <c r="E15" s="3">
        <f>GetDuration(Table2[[#This Row],[Location]],Family,KEY)</f>
        <v>21.233333333333334</v>
      </c>
      <c r="F15" s="3">
        <f>GetDuration(Table2[[#This Row],[Location]],Northlake,KEY)</f>
        <v>13.216666666666667</v>
      </c>
      <c r="G15" s="36">
        <f>IFERROR((Table2[[#This Row],[Stedfast]]+Table2[[#This Row],[Family]]+Table2[[#This Row],[Northlake]])/3, "")</f>
        <v>24.133333333333336</v>
      </c>
      <c r="H15" t="s">
        <v>91</v>
      </c>
      <c r="J15" s="1" t="s">
        <v>53</v>
      </c>
      <c r="K15" s="1"/>
    </row>
    <row r="16" spans="2:14">
      <c r="B16" t="s">
        <v>93</v>
      </c>
      <c r="C16" s="6" t="s">
        <v>126</v>
      </c>
      <c r="D16" s="3">
        <f>GetDuration(Table2[[#This Row],[Location]],Stedfast,KEY)</f>
        <v>27.616666666666667</v>
      </c>
      <c r="E16" s="3">
        <f>GetDuration(Table2[[#This Row],[Location]],Family,KEY)</f>
        <v>33.700000000000003</v>
      </c>
      <c r="F16" s="3">
        <f>GetDuration(Table2[[#This Row],[Location]],Northlake,KEY)</f>
        <v>23.583333333333332</v>
      </c>
      <c r="G16" s="36">
        <f>IFERROR((Table2[[#This Row],[Stedfast]]+Table2[[#This Row],[Family]]+Table2[[#This Row],[Northlake]])/3, "")</f>
        <v>28.3</v>
      </c>
      <c r="H16" t="s">
        <v>62</v>
      </c>
      <c r="I16" t="s">
        <v>92</v>
      </c>
      <c r="J16" s="1" t="s">
        <v>53</v>
      </c>
      <c r="K16" s="1"/>
    </row>
    <row r="17" spans="2:15">
      <c r="B17" t="s">
        <v>95</v>
      </c>
      <c r="C17" s="6" t="s">
        <v>94</v>
      </c>
      <c r="D17" s="3">
        <f>GetDuration(Table2[[#This Row],[Location]],Stedfast,KEY)</f>
        <v>31.9</v>
      </c>
      <c r="E17" s="3">
        <f>GetDuration(Table2[[#This Row],[Location]],Family,KEY)</f>
        <v>24.816666666666666</v>
      </c>
      <c r="F17" s="3">
        <f>GetDuration(Table2[[#This Row],[Location]],Northlake,KEY)</f>
        <v>14.7</v>
      </c>
      <c r="G17" s="36">
        <f>IFERROR((Table2[[#This Row],[Stedfast]]+Table2[[#This Row],[Family]]+Table2[[#This Row],[Northlake]])/3, "")</f>
        <v>23.805555555555557</v>
      </c>
      <c r="H17" t="s">
        <v>96</v>
      </c>
      <c r="I17" t="s">
        <v>103</v>
      </c>
      <c r="J17" s="1" t="s">
        <v>53</v>
      </c>
      <c r="K17" s="1"/>
      <c r="L17" t="s">
        <v>105</v>
      </c>
    </row>
    <row r="18" spans="2:15">
      <c r="B18" t="s">
        <v>97</v>
      </c>
      <c r="C18" s="6" t="s">
        <v>98</v>
      </c>
      <c r="D18" s="3">
        <f>GetDuration(Table2[[#This Row],[Location]],Stedfast,KEY)</f>
        <v>34.716666666666669</v>
      </c>
      <c r="E18" s="3">
        <f>GetDuration(Table2[[#This Row],[Location]],Family,KEY)</f>
        <v>23.666666666666668</v>
      </c>
      <c r="F18" s="3">
        <f>GetDuration(Table2[[#This Row],[Location]],Northlake,KEY)</f>
        <v>14.233333333333333</v>
      </c>
      <c r="G18" s="36">
        <f>IFERROR((Table2[[#This Row],[Stedfast]]+Table2[[#This Row],[Family]]+Table2[[#This Row],[Northlake]])/3, "")</f>
        <v>24.205555555555559</v>
      </c>
      <c r="H18" t="s">
        <v>100</v>
      </c>
      <c r="I18" t="s">
        <v>101</v>
      </c>
      <c r="J18" s="1" t="s">
        <v>53</v>
      </c>
      <c r="K18" s="1"/>
      <c r="L18" t="s">
        <v>99</v>
      </c>
    </row>
    <row r="19" spans="2:15">
      <c r="C19" s="6"/>
      <c r="D19" s="3" t="str">
        <f>GetDuration(Table2[[#This Row],[Location]],Stedfast,KEY)</f>
        <v/>
      </c>
      <c r="E19" s="3" t="str">
        <f>GetDuration(Table2[[#This Row],[Location]],Family,KEY)</f>
        <v/>
      </c>
      <c r="F19" s="39" t="str">
        <f>GetDuration(Table2[[#This Row],[Location]],Northlake,KEY)</f>
        <v/>
      </c>
      <c r="G19" s="36" t="str">
        <f>IFERROR((Table2[[#This Row],[Stedfast]]+Table2[[#This Row],[Family]]+Table2[[#This Row],[Northlake]])/3, "")</f>
        <v/>
      </c>
      <c r="K19" s="1"/>
    </row>
    <row r="20" spans="2:15">
      <c r="C20" s="6"/>
      <c r="D20" s="3" t="str">
        <f>GetDuration(Table2[[#This Row],[Location]],Stedfast,KEY)</f>
        <v/>
      </c>
      <c r="E20" s="3" t="str">
        <f>GetDuration(Table2[[#This Row],[Location]],Family,KEY)</f>
        <v/>
      </c>
      <c r="F20" s="39" t="str">
        <f>GetDuration(Table2[[#This Row],[Location]],Northlake,KEY)</f>
        <v/>
      </c>
      <c r="G20" s="36" t="str">
        <f>IFERROR((Table2[[#This Row],[Stedfast]]+Table2[[#This Row],[Family]]+Table2[[#This Row],[Northlake]])/3, "")</f>
        <v/>
      </c>
      <c r="K20" s="1"/>
    </row>
    <row r="21" spans="2:15">
      <c r="C21" s="6"/>
      <c r="D21" s="3" t="str">
        <f>GetDuration(Table2[[#This Row],[Location]],Stedfast,KEY)</f>
        <v/>
      </c>
      <c r="E21" s="3" t="str">
        <f>GetDuration(Table2[[#This Row],[Location]],Family,KEY)</f>
        <v/>
      </c>
      <c r="F21" s="39" t="str">
        <f>GetDuration(Table2[[#This Row],[Location]],Northlake,KEY)</f>
        <v/>
      </c>
      <c r="G21" s="36" t="str">
        <f>IFERROR((Table2[[#This Row],[Stedfast]]+Table2[[#This Row],[Family]]+Table2[[#This Row],[Northlake]])/3, "")</f>
        <v/>
      </c>
      <c r="K21" s="1"/>
    </row>
    <row r="22" spans="2:15"/>
    <row r="23" spans="2:15"/>
    <row r="24" spans="2:15">
      <c r="E24" s="3"/>
      <c r="F24" s="3"/>
      <c r="M24" s="14" t="s">
        <v>111</v>
      </c>
      <c r="O24" t="s">
        <v>28</v>
      </c>
    </row>
    <row r="25" spans="2:15">
      <c r="H25" s="38"/>
      <c r="M25" s="4" t="s">
        <v>107</v>
      </c>
      <c r="O25" t="s">
        <v>42</v>
      </c>
    </row>
    <row r="26" spans="2:15">
      <c r="M26" s="5" t="s">
        <v>108</v>
      </c>
      <c r="O26" t="s">
        <v>43</v>
      </c>
    </row>
    <row r="27" spans="2:15">
      <c r="M27" s="4" t="s">
        <v>109</v>
      </c>
      <c r="O27" t="s">
        <v>44</v>
      </c>
    </row>
    <row r="28" spans="2:15">
      <c r="M28" s="5" t="s">
        <v>110</v>
      </c>
      <c r="O28" t="s">
        <v>45</v>
      </c>
    </row>
    <row r="29" spans="2:15">
      <c r="M29" s="4" t="s">
        <v>112</v>
      </c>
      <c r="O29" t="s">
        <v>46</v>
      </c>
    </row>
    <row r="30" spans="2:15">
      <c r="M30" s="5" t="s">
        <v>114</v>
      </c>
      <c r="O30" t="s">
        <v>47</v>
      </c>
    </row>
    <row r="31" spans="2:15">
      <c r="M31" s="4"/>
    </row>
    <row r="32" spans="2:15">
      <c r="M32" s="5"/>
    </row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</sheetData>
  <conditionalFormatting sqref="G3:G2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hyperlinks>
    <hyperlink ref="J3" r:id="rId1" display="https://www.indeed.com/cmp/Indeed-Prime/jobs/Software-Engineer-63137f30e39ba54c?sjdu=QwrRXKrqZ3CNX5W-O9jEvRFd8FQI4DEv5V74lSpSnHbeyUefy-E2dCuvkov3qMM114FLLNXhiXy3oCnIEEdwgw&amp;tk=1dd48lp1o27tt003&amp;adid=295686532&amp;vjs=3" xr:uid="{8156EF3A-1A77-4988-BF8C-431AB63F5FE9}"/>
    <hyperlink ref="J4" r:id="rId2" display="https://www.indeed.com/cmp/Prime-Axis-Technologies/jobs/Python-Developer-32193990efb9f959?sjdu=QwrRXKrqZ3CNX5W-O9jEvbz72jM7uam2V7CQRxfyL2Jirky2JOFaeUivyJz3tN5gbC4f6PcD1GYU36FnwrkdLA&amp;tk=1dd48lp1o27tt003&amp;adid=296565121&amp;vjs=3" xr:uid="{CF01F589-522E-4610-8243-22CD04AB86D4}"/>
    <hyperlink ref="J5" r:id="rId3" display="https://www.indeed.com/viewjob?jk=0072aa897e73a8f9&amp;tk=1dd48m4auhnl6800&amp;from=serp&amp;vjs=3&amp;advn=3411935652289106&amp;adid=285425124&amp;sjdu=teYnAu8OgCGxABCwWD3OBGSvNPsXXaEnWLrUq8268_QKmJVucdewCATuQgtRMxe-TPgNNiw8lu0LB7nMsCyE7kmXMW6DzK2DE5Ha1vq19fIWUnxYH_6BOSq98bsBWSK7vvcRVFbuoz-8ztiv683BT0e8meG8zHCb5IOq_-hHlBSCgnVQy2pSMNjKZ9NCrdofYAdBQK6pZiHpD1vTz36-MmRx1z2cK-_gZrhuyizpI3BKrTwPZM87oODmWnDBAkSgeOGe8DdlUKWnd9v_Pw4XLEGgXJs9FfUaH8N5brXzTqEyTnLY_gtCZK9MMO80TIAr" xr:uid="{2986ED50-0FD6-4FD6-A760-85E8D1C3B453}"/>
    <hyperlink ref="J6" r:id="rId4" display="https://www.indeed.com/viewjob?jk=46ca25d192835c0a&amp;tk=1dd48m7irhnl6800&amp;from=serp&amp;vjs=3&amp;advn=3411935652289106&amp;adid=285425124&amp;sjdu=teYnAu8OgCGxABCwWD3OBGSvNPsXXaEnWLrUq8268_QKmJVucdewCATuQgtRMxe-TPgNNiw8lu0LB7nMsCyE7kmXMW6DzK2DE5Ha1vq19fIUqPXRaQHE7rNkCpu5bPb9vvcRVFbuoz-8ztiv683BT0e8meG8zHCb5IOq_-hHlBSCgnVQy2pSMNjKZ9NCrdofYAdBQK6pZiHpD1vTz36-MmRx1z2cK-_gZrhuyizpI3BKrTwPZM87oODmWnDBAkSgeOGe8DdlUKWnd9v_Pw4XLEGgXJs9FfUaH8N5brXzTqEyTnLY_gtCZK9MMO80TIAr" xr:uid="{AB844285-4FE1-40CD-9920-D678BF35803B}"/>
    <hyperlink ref="J8" r:id="rId5" display="https://www.indeed.com/viewjob?jk=983050d7bfc1deb6&amp;from=recjobs&amp;vjtk=1dd48m7m0i08h800" xr:uid="{1BE520F2-F62E-45A9-A59C-F5A1EC3255E6}"/>
    <hyperlink ref="J9" r:id="rId6" display="https://www.indeed.com/cmp/MachineCDN-LLC/jobs/Full-Stack-Engineer-May-34744649662117dc?sjdu=QwrRXKrqZ3CNX5W-O9jEvRQls7y2xdBHzhqWkvhd5FForFMTpd9UUV73EbYEynXoZ48CNX1d4F08hgRXzvwpxLkuuwc22XTGTg9N6joRF40jiaomnPbgT8DSOHUMQjak&amp;tk=1dd48lp1o27tt003&amp;adid=64944351&amp;vjs=3" xr:uid="{6D19A572-5A32-4318-A0DA-18257D0727CF}"/>
    <hyperlink ref="J10" r:id="rId7" display="https://www.indeed.com/viewjob?jk=2e39e13fb69a0faf&amp;from=recjobs&amp;vjtk=1dd48mgtqi08g800" xr:uid="{BD46B38C-387A-4E0C-AA6D-7274B86301FE}"/>
    <hyperlink ref="J11" r:id="rId8" display="https://www.indeed.com/viewjob?jk=070a88bb81fccc19&amp;from=recjobs&amp;vjtk=1dd4d11rui08h800" xr:uid="{7A58E387-A3EF-4122-8D33-03AAEFAEFF34}"/>
    <hyperlink ref="J12" r:id="rId9" display="https://www.indeed.com/viewjob?jk=4f194cd718e1dcc7&amp;from=recjobs&amp;vjtk=1dd4di87ii08h800" xr:uid="{A794B81E-5C5E-4024-9ACD-45F816CE4444}"/>
    <hyperlink ref="J13" r:id="rId10" display="https://www.indeed.com/viewjob?jk=5f2f068ba616f055&amp;from=recjobs&amp;vjtk=1dd4dmccpi08h800" xr:uid="{D3AD0675-100D-4399-8042-3A4DDAA9E3D1}"/>
    <hyperlink ref="J14" r:id="rId11" display="https://www.indeed.com/viewjob?jk=093967608a76deed&amp;from=recjobs&amp;vjtk=1dd4e4sali08g800" xr:uid="{5C9FA560-100C-426B-A995-F5F73084931B}"/>
    <hyperlink ref="J15" r:id="rId12" display="https://www.indeed.com/viewjob?jk=9223ae04a3f71dc6&amp;from=recjobs&amp;vjtk=1dd4f9vo35mai800" xr:uid="{B59F82F0-57A1-4785-90A1-2E779F767829}"/>
    <hyperlink ref="J16" r:id="rId13" display="https://www.indeed.com/viewjob?jk=779781f4c885e177&amp;from=recjobs&amp;vjtk=1dd4dmccpi08h800" xr:uid="{CC994C8B-46EF-42C9-8250-564C35139C22}"/>
    <hyperlink ref="J17" r:id="rId14" display="https://www.indeed.com/viewjob?jk=f34d94ff68ed1832&amp;from=recjobs&amp;vjtk=1dd4hp7qihp9l800I" xr:uid="{7CDF8DB0-B09F-454E-A2BB-F4699CEB83F0}"/>
    <hyperlink ref="J18" r:id="rId15" display="https://www.indeed.com/viewjob?jk=3ccc3b5addae8735&amp;q=Python&amp;l=Wylie%2C+TX&amp;tk=1dd48lp1o27tt003&amp;from=web&amp;vjs=3" xr:uid="{86EAA97F-9AEE-427A-8B0A-FC1D4976EBB9}"/>
    <hyperlink ref="J7" r:id="rId16" display="https://www.capitalonecareers.com/job/plano/software-engineer/1732/11433674" xr:uid="{F9EAF600-8986-40BF-B9B4-AC0153E95780}"/>
    <hyperlink ref="N6" r:id="rId17" display="https://www.capitalonecareers.com/job/plano/full-stack-software-engineer/1732/11777976" xr:uid="{59E1DDA6-0463-4AEF-A771-F979BF473F3E}"/>
  </hyperlinks>
  <pageMargins left="0.7" right="0.7" top="0.75" bottom="0.75" header="0.3" footer="0.3"/>
  <pageSetup orientation="portrait" horizontalDpi="1200" verticalDpi="1200" r:id="rId18"/>
  <drawing r:id="rId19"/>
  <legacyDrawing r:id="rId2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21" name="Check Box 1">
              <controlPr defaultSize="0" autoFill="0" autoLine="0" autoPict="0">
                <anchor moveWithCells="1">
                  <from>
                    <xdr:col>10</xdr:col>
                    <xdr:colOff>209550</xdr:colOff>
                    <xdr:row>1</xdr:row>
                    <xdr:rowOff>165100</xdr:rowOff>
                  </from>
                  <to>
                    <xdr:col>10</xdr:col>
                    <xdr:colOff>450850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22" name="Check Box 15">
              <controlPr defaultSize="0" autoFill="0" autoLine="0" autoPict="0">
                <anchor moveWithCells="1">
                  <from>
                    <xdr:col>10</xdr:col>
                    <xdr:colOff>209550</xdr:colOff>
                    <xdr:row>2</xdr:row>
                    <xdr:rowOff>165100</xdr:rowOff>
                  </from>
                  <to>
                    <xdr:col>10</xdr:col>
                    <xdr:colOff>450850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3" name="Check Box 16">
              <controlPr defaultSize="0" autoFill="0" autoLine="0" autoPict="0">
                <anchor moveWithCells="1">
                  <from>
                    <xdr:col>10</xdr:col>
                    <xdr:colOff>209550</xdr:colOff>
                    <xdr:row>4</xdr:row>
                    <xdr:rowOff>69850</xdr:rowOff>
                  </from>
                  <to>
                    <xdr:col>10</xdr:col>
                    <xdr:colOff>450850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4" name="Check Box 18">
              <controlPr defaultSize="0" autoFill="0" autoLine="0" autoPict="0">
                <anchor moveWithCells="1">
                  <from>
                    <xdr:col>10</xdr:col>
                    <xdr:colOff>209550</xdr:colOff>
                    <xdr:row>5</xdr:row>
                    <xdr:rowOff>165100</xdr:rowOff>
                  </from>
                  <to>
                    <xdr:col>10</xdr:col>
                    <xdr:colOff>450850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5" name="Check Box 19">
              <controlPr defaultSize="0" autoFill="0" autoLine="0" autoPict="0">
                <anchor moveWithCells="1">
                  <from>
                    <xdr:col>10</xdr:col>
                    <xdr:colOff>209550</xdr:colOff>
                    <xdr:row>7</xdr:row>
                    <xdr:rowOff>165100</xdr:rowOff>
                  </from>
                  <to>
                    <xdr:col>10</xdr:col>
                    <xdr:colOff>450850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6" name="Check Box 20">
              <controlPr defaultSize="0" autoFill="0" autoLine="0" autoPict="0">
                <anchor moveWithCells="1">
                  <from>
                    <xdr:col>10</xdr:col>
                    <xdr:colOff>209550</xdr:colOff>
                    <xdr:row>8</xdr:row>
                    <xdr:rowOff>165100</xdr:rowOff>
                  </from>
                  <to>
                    <xdr:col>10</xdr:col>
                    <xdr:colOff>450850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7" name="Check Box 21">
              <controlPr defaultSize="0" autoFill="0" autoLine="0" autoPict="0">
                <anchor moveWithCells="1">
                  <from>
                    <xdr:col>10</xdr:col>
                    <xdr:colOff>209550</xdr:colOff>
                    <xdr:row>9</xdr:row>
                    <xdr:rowOff>165100</xdr:rowOff>
                  </from>
                  <to>
                    <xdr:col>10</xdr:col>
                    <xdr:colOff>450850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8" name="Check Box 22">
              <controlPr defaultSize="0" autoFill="0" autoLine="0" autoPict="0">
                <anchor moveWithCells="1">
                  <from>
                    <xdr:col>10</xdr:col>
                    <xdr:colOff>209550</xdr:colOff>
                    <xdr:row>10</xdr:row>
                    <xdr:rowOff>165100</xdr:rowOff>
                  </from>
                  <to>
                    <xdr:col>10</xdr:col>
                    <xdr:colOff>450850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9" name="Check Box 23">
              <controlPr defaultSize="0" autoFill="0" autoLine="0" autoPict="0">
                <anchor moveWithCells="1">
                  <from>
                    <xdr:col>10</xdr:col>
                    <xdr:colOff>209550</xdr:colOff>
                    <xdr:row>11</xdr:row>
                    <xdr:rowOff>165100</xdr:rowOff>
                  </from>
                  <to>
                    <xdr:col>10</xdr:col>
                    <xdr:colOff>450850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30" name="Check Box 24">
              <controlPr defaultSize="0" autoFill="0" autoLine="0" autoPict="0">
                <anchor moveWithCells="1">
                  <from>
                    <xdr:col>10</xdr:col>
                    <xdr:colOff>209550</xdr:colOff>
                    <xdr:row>12</xdr:row>
                    <xdr:rowOff>165100</xdr:rowOff>
                  </from>
                  <to>
                    <xdr:col>10</xdr:col>
                    <xdr:colOff>450850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31" name="Check Box 25">
              <controlPr defaultSize="0" autoFill="0" autoLine="0" autoPict="0">
                <anchor moveWithCells="1">
                  <from>
                    <xdr:col>10</xdr:col>
                    <xdr:colOff>209550</xdr:colOff>
                    <xdr:row>13</xdr:row>
                    <xdr:rowOff>165100</xdr:rowOff>
                  </from>
                  <to>
                    <xdr:col>10</xdr:col>
                    <xdr:colOff>450850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32" name="Check Box 26">
              <controlPr defaultSize="0" autoFill="0" autoLine="0" autoPict="0">
                <anchor moveWithCells="1">
                  <from>
                    <xdr:col>10</xdr:col>
                    <xdr:colOff>209550</xdr:colOff>
                    <xdr:row>14</xdr:row>
                    <xdr:rowOff>165100</xdr:rowOff>
                  </from>
                  <to>
                    <xdr:col>10</xdr:col>
                    <xdr:colOff>450850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33" name="Check Box 27">
              <controlPr defaultSize="0" autoFill="0" autoLine="0" autoPict="0">
                <anchor moveWithCells="1">
                  <from>
                    <xdr:col>10</xdr:col>
                    <xdr:colOff>209550</xdr:colOff>
                    <xdr:row>15</xdr:row>
                    <xdr:rowOff>165100</xdr:rowOff>
                  </from>
                  <to>
                    <xdr:col>10</xdr:col>
                    <xdr:colOff>450850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4" name="Check Box 28">
              <controlPr defaultSize="0" autoFill="0" autoLine="0" autoPict="0">
                <anchor moveWithCells="1">
                  <from>
                    <xdr:col>10</xdr:col>
                    <xdr:colOff>209550</xdr:colOff>
                    <xdr:row>16</xdr:row>
                    <xdr:rowOff>165100</xdr:rowOff>
                  </from>
                  <to>
                    <xdr:col>10</xdr:col>
                    <xdr:colOff>450850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5" name="Check Box 29">
              <controlPr defaultSize="0" autoFill="0" autoLine="0" autoPict="0">
                <anchor moveWithCells="1">
                  <from>
                    <xdr:col>10</xdr:col>
                    <xdr:colOff>209550</xdr:colOff>
                    <xdr:row>17</xdr:row>
                    <xdr:rowOff>165100</xdr:rowOff>
                  </from>
                  <to>
                    <xdr:col>10</xdr:col>
                    <xdr:colOff>450850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6" name="Check Box 30">
              <controlPr defaultSize="0" autoFill="0" autoLine="0" autoPict="0">
                <anchor moveWithCells="1">
                  <from>
                    <xdr:col>10</xdr:col>
                    <xdr:colOff>209550</xdr:colOff>
                    <xdr:row>18</xdr:row>
                    <xdr:rowOff>165100</xdr:rowOff>
                  </from>
                  <to>
                    <xdr:col>10</xdr:col>
                    <xdr:colOff>450850</xdr:colOff>
                    <xdr:row>20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37" name="Check Box 31">
              <controlPr defaultSize="0" autoFill="0" autoLine="0" autoPict="0">
                <anchor moveWithCells="1">
                  <from>
                    <xdr:col>10</xdr:col>
                    <xdr:colOff>209550</xdr:colOff>
                    <xdr:row>19</xdr:row>
                    <xdr:rowOff>165100</xdr:rowOff>
                  </from>
                  <to>
                    <xdr:col>10</xdr:col>
                    <xdr:colOff>450850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38" name="Check Box 33">
              <controlPr defaultSize="0" autoFill="0" autoLine="0" autoPict="0">
                <anchor moveWithCells="1">
                  <from>
                    <xdr:col>10</xdr:col>
                    <xdr:colOff>209550</xdr:colOff>
                    <xdr:row>4</xdr:row>
                    <xdr:rowOff>361950</xdr:rowOff>
                  </from>
                  <to>
                    <xdr:col>10</xdr:col>
                    <xdr:colOff>450850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39" name="Check Box 38">
              <controlPr defaultSize="0" autoFill="0" autoLine="0" autoPict="0">
                <anchor moveWithCells="1">
                  <from>
                    <xdr:col>10</xdr:col>
                    <xdr:colOff>209550</xdr:colOff>
                    <xdr:row>6</xdr:row>
                    <xdr:rowOff>165100</xdr:rowOff>
                  </from>
                  <to>
                    <xdr:col>10</xdr:col>
                    <xdr:colOff>450850</xdr:colOff>
                    <xdr:row>8</xdr:row>
                    <xdr:rowOff>31750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40"/>
    <tablePart r:id="rId4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C26C5-C5C7-49BF-BFEC-8DA6A411B219}">
  <sheetPr codeName="Sheet3"/>
  <dimension ref="A1:L200"/>
  <sheetViews>
    <sheetView showGridLines="0" workbookViewId="0">
      <selection activeCell="C18" sqref="C18"/>
    </sheetView>
  </sheetViews>
  <sheetFormatPr defaultColWidth="0" defaultRowHeight="14.5" zeroHeight="1"/>
  <cols>
    <col min="1" max="1" width="2.453125" customWidth="1"/>
    <col min="2" max="2" width="4.453125" customWidth="1"/>
    <col min="3" max="3" width="40.7265625" bestFit="1" customWidth="1"/>
    <col min="4" max="4" width="5.36328125" customWidth="1"/>
    <col min="5" max="5" width="4.453125" customWidth="1"/>
    <col min="6" max="6" width="43.6328125" bestFit="1" customWidth="1"/>
    <col min="7" max="19" width="8.7265625" customWidth="1"/>
    <col min="20" max="16384" width="8.7265625" hidden="1"/>
  </cols>
  <sheetData>
    <row r="1" spans="1:9" ht="10.5" customHeight="1" thickBot="1">
      <c r="A1" s="15"/>
      <c r="B1" s="15"/>
      <c r="C1" s="15"/>
      <c r="D1" s="15"/>
      <c r="E1" s="16"/>
      <c r="F1" s="15"/>
      <c r="G1" s="15"/>
      <c r="H1" s="17"/>
      <c r="I1" s="17"/>
    </row>
    <row r="2" spans="1:9" ht="37.5" thickBot="1">
      <c r="A2" s="15"/>
      <c r="B2" s="35" t="s">
        <v>115</v>
      </c>
      <c r="C2" s="15"/>
      <c r="D2" s="15"/>
      <c r="E2" s="15"/>
      <c r="F2" s="15"/>
      <c r="G2" s="15"/>
      <c r="H2" s="18">
        <v>2019</v>
      </c>
      <c r="I2" s="18"/>
    </row>
    <row r="3" spans="1:9" ht="19">
      <c r="A3" s="15"/>
      <c r="B3" s="19" t="s">
        <v>121</v>
      </c>
      <c r="C3" s="15"/>
      <c r="D3" s="15"/>
      <c r="E3" s="15"/>
      <c r="F3" s="15"/>
      <c r="G3" s="15"/>
      <c r="H3" s="15"/>
      <c r="I3" s="15"/>
    </row>
    <row r="4" spans="1:9" ht="9" customHeight="1" thickBot="1">
      <c r="A4" s="15"/>
      <c r="B4" s="20"/>
      <c r="C4" s="17"/>
      <c r="D4" s="17"/>
      <c r="E4" s="17"/>
      <c r="F4" s="17"/>
      <c r="G4" s="17"/>
      <c r="H4" s="17"/>
      <c r="I4" s="17"/>
    </row>
    <row r="5" spans="1:9" ht="18" thickBot="1">
      <c r="A5" s="15"/>
      <c r="B5" s="21" t="s">
        <v>116</v>
      </c>
      <c r="C5" s="22"/>
      <c r="D5" s="22"/>
      <c r="E5" s="22"/>
      <c r="F5" s="22"/>
      <c r="G5" s="22"/>
      <c r="H5" s="22"/>
      <c r="I5" s="22"/>
    </row>
    <row r="6" spans="1:9">
      <c r="A6" s="15"/>
      <c r="B6" s="23"/>
      <c r="C6" s="15"/>
      <c r="D6" s="15"/>
      <c r="E6" s="15"/>
      <c r="F6" s="15"/>
      <c r="G6" s="15"/>
      <c r="H6" s="15"/>
      <c r="I6" s="15"/>
    </row>
    <row r="7" spans="1:9" ht="15" thickBot="1">
      <c r="A7" s="15"/>
      <c r="B7" s="24" t="s">
        <v>116</v>
      </c>
      <c r="C7" s="24"/>
      <c r="D7" s="15"/>
      <c r="E7" s="24" t="s">
        <v>120</v>
      </c>
      <c r="F7" s="24"/>
      <c r="G7" s="15"/>
      <c r="H7" s="15"/>
      <c r="I7" s="15"/>
    </row>
    <row r="8" spans="1:9" ht="16">
      <c r="A8" s="15"/>
      <c r="B8" s="25">
        <v>1</v>
      </c>
      <c r="C8" s="30" t="s">
        <v>3</v>
      </c>
      <c r="D8" s="27"/>
      <c r="E8" s="25">
        <v>1</v>
      </c>
      <c r="F8" s="29" t="s">
        <v>27</v>
      </c>
      <c r="G8" s="27"/>
      <c r="H8" s="15"/>
      <c r="I8" s="15"/>
    </row>
    <row r="9" spans="1:9" ht="16">
      <c r="A9" s="15"/>
      <c r="B9" s="28">
        <v>2</v>
      </c>
      <c r="C9" s="30" t="s">
        <v>4</v>
      </c>
      <c r="D9" s="27"/>
      <c r="E9" s="28">
        <v>2</v>
      </c>
      <c r="F9" s="29" t="s">
        <v>122</v>
      </c>
      <c r="G9" s="27" t="str">
        <f>IF(ISBLANK(#REF!),"← Please select a value from drop-down",IF(COUNTIF($C$1:F9,#REF!)&gt;1,"You have selected "&amp;#REF!&amp;" twice.",""))</f>
        <v/>
      </c>
      <c r="H9" s="15"/>
      <c r="I9" s="15"/>
    </row>
    <row r="10" spans="1:9" ht="16">
      <c r="A10" s="15"/>
      <c r="B10" s="28">
        <v>3</v>
      </c>
      <c r="C10" s="30" t="s">
        <v>8</v>
      </c>
      <c r="D10" s="27"/>
      <c r="E10" s="28">
        <v>3</v>
      </c>
      <c r="F10" s="30" t="s">
        <v>123</v>
      </c>
      <c r="G10" s="27" t="str">
        <f>IF(ISBLANK(#REF!),"← Please select a value from drop-down",IF(COUNTIF($C$1:F10,#REF!)&gt;1,"You have selected "&amp;#REF!&amp;" twice.",""))</f>
        <v/>
      </c>
      <c r="H10" s="15"/>
      <c r="I10" s="15"/>
    </row>
    <row r="11" spans="1:9" ht="16">
      <c r="A11" s="15"/>
      <c r="B11" s="28">
        <v>4</v>
      </c>
      <c r="C11" s="30"/>
      <c r="D11" s="27"/>
      <c r="E11" s="28">
        <v>4</v>
      </c>
      <c r="F11" s="30"/>
      <c r="G11" s="27"/>
      <c r="H11" s="15"/>
      <c r="I11" s="15"/>
    </row>
    <row r="12" spans="1:9" ht="16">
      <c r="A12" s="15"/>
      <c r="B12" s="31">
        <v>5</v>
      </c>
      <c r="C12" s="32"/>
      <c r="D12" s="27"/>
      <c r="E12" s="31">
        <v>5</v>
      </c>
      <c r="F12" s="32"/>
      <c r="G12" s="27"/>
      <c r="H12" s="15"/>
      <c r="I12" s="15"/>
    </row>
    <row r="13" spans="1:9" ht="16.5" thickBot="1">
      <c r="A13" s="15"/>
      <c r="B13" s="33">
        <v>6</v>
      </c>
      <c r="C13" s="34"/>
      <c r="D13" s="27"/>
      <c r="E13" s="33">
        <v>6</v>
      </c>
      <c r="F13" s="34"/>
      <c r="G13" s="27"/>
      <c r="H13" s="15"/>
      <c r="I13" s="15"/>
    </row>
    <row r="14" spans="1:9" ht="15" thickBot="1">
      <c r="A14" s="15"/>
      <c r="B14" s="15"/>
      <c r="C14" s="15"/>
      <c r="D14" s="15"/>
      <c r="E14" s="15"/>
      <c r="F14" s="15"/>
      <c r="G14" s="15"/>
      <c r="H14" s="15"/>
      <c r="I14" s="15"/>
    </row>
    <row r="15" spans="1:9" ht="18" thickBot="1">
      <c r="A15" s="15"/>
      <c r="B15" s="21" t="s">
        <v>117</v>
      </c>
      <c r="C15" s="22"/>
      <c r="D15" s="22"/>
      <c r="E15" s="22"/>
      <c r="F15" s="22"/>
      <c r="G15" s="22"/>
      <c r="H15" s="22"/>
      <c r="I15" s="22"/>
    </row>
    <row r="16" spans="1:9">
      <c r="A16" s="15"/>
      <c r="B16" s="15"/>
      <c r="C16" s="15"/>
      <c r="E16" s="15"/>
      <c r="G16" s="15"/>
      <c r="H16" s="15"/>
      <c r="I16" s="15"/>
    </row>
    <row r="17" spans="1:9" ht="15" thickBot="1">
      <c r="A17" s="15"/>
      <c r="B17" s="24" t="s">
        <v>118</v>
      </c>
      <c r="C17" s="24"/>
      <c r="E17" s="24" t="s">
        <v>119</v>
      </c>
      <c r="F17" s="24"/>
      <c r="G17" s="15"/>
      <c r="H17" s="15"/>
      <c r="I17" s="15"/>
    </row>
    <row r="18" spans="1:9" ht="16">
      <c r="A18" s="15"/>
      <c r="B18" s="25">
        <v>1</v>
      </c>
      <c r="C18" s="26" t="s">
        <v>6</v>
      </c>
      <c r="E18" s="25">
        <v>1</v>
      </c>
      <c r="F18" s="32" t="s">
        <v>5</v>
      </c>
      <c r="G18" s="15"/>
      <c r="H18" s="15"/>
      <c r="I18" s="15"/>
    </row>
    <row r="19" spans="1:9" ht="16">
      <c r="A19" s="15"/>
      <c r="B19" s="28">
        <v>2</v>
      </c>
      <c r="C19" s="30"/>
      <c r="E19" s="28">
        <v>2</v>
      </c>
      <c r="F19" s="32" t="s">
        <v>9</v>
      </c>
      <c r="G19" s="15"/>
      <c r="H19" s="15"/>
      <c r="I19" s="15"/>
    </row>
    <row r="20" spans="1:9" ht="16">
      <c r="A20" s="15"/>
      <c r="B20" s="28">
        <v>3</v>
      </c>
      <c r="C20" s="30"/>
      <c r="D20" s="15"/>
      <c r="E20" s="28">
        <v>3</v>
      </c>
      <c r="F20" s="32" t="s">
        <v>11</v>
      </c>
      <c r="G20" s="15"/>
      <c r="H20" s="15"/>
      <c r="I20" s="15"/>
    </row>
    <row r="21" spans="1:9" ht="16">
      <c r="A21" s="15"/>
      <c r="B21" s="28">
        <v>4</v>
      </c>
      <c r="C21" s="30"/>
      <c r="D21" s="15"/>
      <c r="E21" s="28">
        <v>4</v>
      </c>
      <c r="F21" s="32" t="s">
        <v>12</v>
      </c>
      <c r="G21" s="15"/>
      <c r="H21" s="15"/>
      <c r="I21" s="15"/>
    </row>
    <row r="22" spans="1:9" ht="16">
      <c r="A22" s="15"/>
      <c r="B22" s="31">
        <v>5</v>
      </c>
      <c r="C22" s="32"/>
      <c r="D22" s="15"/>
      <c r="E22" s="31">
        <v>5</v>
      </c>
      <c r="F22" s="32"/>
      <c r="G22" s="15"/>
      <c r="H22" s="15"/>
      <c r="I22" s="15"/>
    </row>
    <row r="23" spans="1:9" ht="16">
      <c r="A23" s="15"/>
      <c r="B23" s="31">
        <v>6</v>
      </c>
      <c r="C23" s="32"/>
      <c r="D23" s="15"/>
      <c r="E23" s="31">
        <v>6</v>
      </c>
      <c r="F23" s="32"/>
      <c r="G23" s="15"/>
      <c r="H23" s="15"/>
      <c r="I23" s="15"/>
    </row>
    <row r="24" spans="1:9" ht="16.5" thickBot="1">
      <c r="A24" s="15"/>
      <c r="B24" s="33">
        <v>7</v>
      </c>
      <c r="C24" s="34"/>
      <c r="D24" s="15"/>
      <c r="E24" s="33">
        <v>7</v>
      </c>
      <c r="F24" s="34"/>
      <c r="G24" s="15"/>
      <c r="H24" s="15"/>
      <c r="I24" s="15"/>
    </row>
    <row r="25" spans="1:9">
      <c r="A25" s="15"/>
      <c r="B25" s="15"/>
      <c r="C25" s="15"/>
      <c r="D25" s="15"/>
      <c r="E25" s="15"/>
      <c r="F25" s="15"/>
      <c r="G25" s="15"/>
      <c r="H25" s="15"/>
      <c r="I25" s="15"/>
    </row>
    <row r="26" spans="1:9"/>
    <row r="27" spans="1:9"/>
    <row r="28" spans="1:9"/>
    <row r="29" spans="1:9"/>
    <row r="30" spans="1:9"/>
    <row r="31" spans="1:9"/>
    <row r="32" spans="1:9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</sheetData>
  <mergeCells count="5">
    <mergeCell ref="H2:I2"/>
    <mergeCell ref="B7:C7"/>
    <mergeCell ref="E7:F7"/>
    <mergeCell ref="B17:C17"/>
    <mergeCell ref="E17:F17"/>
  </mergeCells>
  <conditionalFormatting sqref="B13:C13 B8:B12">
    <cfRule type="expression" dxfId="22" priority="36">
      <formula>MOD(ROW(),2)</formula>
    </cfRule>
  </conditionalFormatting>
  <conditionalFormatting sqref="E13:F13 E8:E12">
    <cfRule type="expression" dxfId="21" priority="35">
      <formula>MOD(ROW(),2)</formula>
    </cfRule>
  </conditionalFormatting>
  <conditionalFormatting sqref="C11:C12">
    <cfRule type="expression" dxfId="20" priority="30">
      <formula>MOD(ROW(),2)</formula>
    </cfRule>
  </conditionalFormatting>
  <conditionalFormatting sqref="F9">
    <cfRule type="expression" dxfId="19" priority="28">
      <formula>MOD(ROW(),2)</formula>
    </cfRule>
  </conditionalFormatting>
  <conditionalFormatting sqref="F10">
    <cfRule type="expression" dxfId="18" priority="27">
      <formula>MOD(ROW(),2)</formula>
    </cfRule>
  </conditionalFormatting>
  <conditionalFormatting sqref="F11:F12">
    <cfRule type="expression" dxfId="17" priority="26">
      <formula>MOD(ROW(),2)</formula>
    </cfRule>
  </conditionalFormatting>
  <conditionalFormatting sqref="F24">
    <cfRule type="expression" dxfId="16" priority="5">
      <formula>MOD(ROW(),2)</formula>
    </cfRule>
  </conditionalFormatting>
  <conditionalFormatting sqref="B18:B24">
    <cfRule type="expression" dxfId="15" priority="21">
      <formula>MOD(ROW(),2)</formula>
    </cfRule>
  </conditionalFormatting>
  <conditionalFormatting sqref="C20">
    <cfRule type="expression" dxfId="14" priority="20">
      <formula>MOD(ROW(),2)</formula>
    </cfRule>
  </conditionalFormatting>
  <conditionalFormatting sqref="E18:E24">
    <cfRule type="expression" dxfId="13" priority="19">
      <formula>MOD(ROW(),2)</formula>
    </cfRule>
  </conditionalFormatting>
  <conditionalFormatting sqref="C19">
    <cfRule type="expression" dxfId="12" priority="16">
      <formula>MOD(ROW(),2)</formula>
    </cfRule>
  </conditionalFormatting>
  <conditionalFormatting sqref="C21:C23">
    <cfRule type="expression" dxfId="11" priority="15">
      <formula>MOD(ROW(),2)</formula>
    </cfRule>
  </conditionalFormatting>
  <conditionalFormatting sqref="C18">
    <cfRule type="expression" dxfId="10" priority="9">
      <formula>MOD(ROW(),2)</formula>
    </cfRule>
  </conditionalFormatting>
  <conditionalFormatting sqref="F22:F23">
    <cfRule type="expression" dxfId="9" priority="12">
      <formula>MOD(ROW(),2)</formula>
    </cfRule>
  </conditionalFormatting>
  <conditionalFormatting sqref="C24">
    <cfRule type="expression" dxfId="8" priority="11">
      <formula>MOD(ROW(),2)</formula>
    </cfRule>
  </conditionalFormatting>
  <conditionalFormatting sqref="F18:F21">
    <cfRule type="expression" dxfId="7" priority="3">
      <formula>MOD(ROW(),2)</formula>
    </cfRule>
  </conditionalFormatting>
  <conditionalFormatting sqref="C8:C10">
    <cfRule type="expression" dxfId="6" priority="2">
      <formula>MOD(ROW(),2)</formula>
    </cfRule>
  </conditionalFormatting>
  <conditionalFormatting sqref="F8">
    <cfRule type="expression" dxfId="5" priority="1">
      <formula>MOD(ROW(),2)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Cities</vt:lpstr>
      <vt:lpstr>Jobs</vt:lpstr>
      <vt:lpstr>Key Metrics</vt:lpstr>
      <vt:lpstr>Brian</vt:lpstr>
      <vt:lpstr>Carlsons</vt:lpstr>
      <vt:lpstr>Family</vt:lpstr>
      <vt:lpstr>Future_Wife</vt:lpstr>
      <vt:lpstr>KEY</vt:lpstr>
      <vt:lpstr>Northlake</vt:lpstr>
      <vt:lpstr>Stedfast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Ethan Miller</dc:creator>
  <cp:lastModifiedBy>Ethan Miller</cp:lastModifiedBy>
  <dcterms:created xsi:type="dcterms:W3CDTF">2019-06-10T20:52:35Z</dcterms:created>
  <dcterms:modified xsi:type="dcterms:W3CDTF">2019-06-15T03:24:36Z</dcterms:modified>
</cp:coreProperties>
</file>